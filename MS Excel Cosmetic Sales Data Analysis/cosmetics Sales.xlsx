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esktop\python\venv\basic python\"/>
    </mc:Choice>
  </mc:AlternateContent>
  <xr:revisionPtr revIDLastSave="0" documentId="13_ncr:1_{1F31B145-9DFE-41A4-AA22-9A7F5525B346}" xr6:coauthVersionLast="36" xr6:coauthVersionMax="36" xr10:uidLastSave="{00000000-0000-0000-0000-000000000000}"/>
  <bookViews>
    <workbookView xWindow="0" yWindow="0" windowWidth="19200" windowHeight="6930" activeTab="1" xr2:uid="{00000000-000D-0000-FFFF-FFFF00000000}"/>
  </bookViews>
  <sheets>
    <sheet name="Dashboard" sheetId="3" r:id="rId1"/>
    <sheet name="Sales by Months" sheetId="2" r:id="rId2"/>
    <sheet name="Sales by Country" sheetId="4" r:id="rId3"/>
    <sheet name="Boxes Shipped by Month" sheetId="5" r:id="rId4"/>
    <sheet name="Total Sales by Sales Person" sheetId="6" r:id="rId5"/>
    <sheet name="cosmetics_sales_data" sheetId="1" r:id="rId6"/>
  </sheets>
  <definedNames>
    <definedName name="_xlnm._FilterDatabase" localSheetId="5" hidden="1">cosmetics_sales_data!$A$1:$G$375</definedName>
    <definedName name="Slicer_Month">#N/A</definedName>
    <definedName name="Slicer_Product">#N/A</definedName>
    <definedName name="Slicer_Sales_Person">#N/A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2" i="1"/>
</calcChain>
</file>

<file path=xl/sharedStrings.xml><?xml version="1.0" encoding="utf-8"?>
<sst xmlns="http://schemas.openxmlformats.org/spreadsheetml/2006/main" count="1174" uniqueCount="51">
  <si>
    <t>Sales Person</t>
  </si>
  <si>
    <t>Country</t>
  </si>
  <si>
    <t>Product</t>
  </si>
  <si>
    <t>Date</t>
  </si>
  <si>
    <t>Amount ($)</t>
  </si>
  <si>
    <t>Boxes Shipped</t>
  </si>
  <si>
    <t>Lucas Verma</t>
  </si>
  <si>
    <t>Canada</t>
  </si>
  <si>
    <t>Aloe Vera Gel</t>
  </si>
  <si>
    <t>Ethan Reddy</t>
  </si>
  <si>
    <t>UK</t>
  </si>
  <si>
    <t>Ananya Gupta</t>
  </si>
  <si>
    <t>India</t>
  </si>
  <si>
    <t>Body Butter Cream</t>
  </si>
  <si>
    <t>New Zealand</t>
  </si>
  <si>
    <t>Salicylic Acid Cleanser</t>
  </si>
  <si>
    <t>Sophia Nair</t>
  </si>
  <si>
    <t>Lip Balm Pack</t>
  </si>
  <si>
    <t>Rose Water Toner</t>
  </si>
  <si>
    <t>Tea Tree Moisturizer</t>
  </si>
  <si>
    <t>Isabella Roy</t>
  </si>
  <si>
    <t>Noah Mehta</t>
  </si>
  <si>
    <t>Olivia D'Souza</t>
  </si>
  <si>
    <t>Australia</t>
  </si>
  <si>
    <t>USA</t>
  </si>
  <si>
    <t>Face Sheet Masks</t>
  </si>
  <si>
    <t>Ava Sharma</t>
  </si>
  <si>
    <t>Hair Repair Oil</t>
  </si>
  <si>
    <t>Liam Patel</t>
  </si>
  <si>
    <t>Vitamin C Cream</t>
  </si>
  <si>
    <t>Niacinamide Toner</t>
  </si>
  <si>
    <t>Under Eye Cream</t>
  </si>
  <si>
    <t>Hydrating Face Serum</t>
  </si>
  <si>
    <t>Charcoal Face Wash</t>
  </si>
  <si>
    <t>Mason Kapoor</t>
  </si>
  <si>
    <t>Anti-Aging Serum</t>
  </si>
  <si>
    <t>SPF 50 Sunscreen</t>
  </si>
  <si>
    <t>Month</t>
  </si>
  <si>
    <t>Jan</t>
  </si>
  <si>
    <t>Feb</t>
  </si>
  <si>
    <t>Mar</t>
  </si>
  <si>
    <t>Apr</t>
  </si>
  <si>
    <t>May</t>
  </si>
  <si>
    <t>Jun</t>
  </si>
  <si>
    <t>Jul</t>
  </si>
  <si>
    <t>Aug</t>
  </si>
  <si>
    <t>Grand Total</t>
  </si>
  <si>
    <t>Sales</t>
  </si>
  <si>
    <t>Months</t>
  </si>
  <si>
    <t>Shipped Boxes</t>
  </si>
  <si>
    <t>COSMETICS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</si>
</sst>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vertical="center"/>
    </xf>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0" xfId="0" applyFill="1" applyBorder="1" applyAlignment="1">
      <alignment horizontal="center"/>
    </xf>
    <xf numFmtId="0" fontId="0" fillId="34" borderId="14" xfId="0" applyFill="1" applyBorder="1" applyAlignment="1">
      <alignment horizontal="center"/>
    </xf>
    <xf numFmtId="0" fontId="0" fillId="34" borderId="15" xfId="0" applyFill="1" applyBorder="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xf numFmtId="172" fontId="0" fillId="0" borderId="0" xfId="0" applyNumberFormat="1"/>
    <xf numFmtId="172" fontId="0" fillId="0" borderId="0" xfId="0" applyNumberForma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5">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2" formatCode="_(&quot;$&quot;* #,##0_);_(&quot;$&quot;* \(#,##0\);_(&quot;$&quot;* &quot;-&quot;??_);_(@_)"/>
    </dxf>
    <dxf>
      <numFmt numFmtId="171" formatCode="_(&quot;$&quot;* #,##0.0_);_(&quot;$&quot;* \(#,##0.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71" formatCode="_(&quot;$&quot;* #,##0.0_);_(&quot;$&quot;* \(#,##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4" formatCode="_(&quot;$&quot;* #,##0.00_);_(&quot;$&quot;* \(#,##0.0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Sales.xlsx]Sales by Months!PivotTable1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months</a:t>
            </a:r>
          </a:p>
        </c:rich>
      </c:tx>
      <c:layout>
        <c:manualLayout>
          <c:xMode val="edge"/>
          <c:yMode val="edge"/>
          <c:x val="0.33259711286089239"/>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5.5555555555555558E-3"/>
          <c:y val="0.14291447944006999"/>
          <c:w val="0.96944444444444444"/>
          <c:h val="0.67200313502478848"/>
        </c:manualLayout>
      </c:layout>
      <c:lineChart>
        <c:grouping val="standard"/>
        <c:varyColors val="0"/>
        <c:ser>
          <c:idx val="0"/>
          <c:order val="0"/>
          <c:tx>
            <c:strRef>
              <c:f>'Sales by Months'!$B$3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6FA6-4832-8E04-80EBD5FD87A4}"/>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A6-4832-8E04-80EBD5FD87A4}"/>
                </c:ext>
              </c:extLst>
            </c:dLbl>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Months'!$A$4:$A$12</c:f>
              <c:strCache>
                <c:ptCount val="8"/>
                <c:pt idx="0">
                  <c:v>Jan</c:v>
                </c:pt>
                <c:pt idx="1">
                  <c:v>Feb</c:v>
                </c:pt>
                <c:pt idx="2">
                  <c:v>Mar</c:v>
                </c:pt>
                <c:pt idx="3">
                  <c:v>Apr</c:v>
                </c:pt>
                <c:pt idx="4">
                  <c:v>May</c:v>
                </c:pt>
                <c:pt idx="5">
                  <c:v>Jun</c:v>
                </c:pt>
                <c:pt idx="6">
                  <c:v>Jul</c:v>
                </c:pt>
                <c:pt idx="7">
                  <c:v>Aug</c:v>
                </c:pt>
              </c:strCache>
            </c:strRef>
          </c:cat>
          <c:val>
            <c:numRef>
              <c:f>'Sales by Months'!$B$4:$B$12</c:f>
              <c:numCache>
                <c:formatCode>_("$"* #,##0_);_("$"* \(#,##0\);_("$"* "-"??_);_(@_)</c:formatCode>
                <c:ptCount val="8"/>
                <c:pt idx="0">
                  <c:v>359762.51000000007</c:v>
                </c:pt>
                <c:pt idx="1">
                  <c:v>214024.56000000003</c:v>
                </c:pt>
                <c:pt idx="2">
                  <c:v>484101.58999999991</c:v>
                </c:pt>
                <c:pt idx="3">
                  <c:v>452650.04000000004</c:v>
                </c:pt>
                <c:pt idx="4">
                  <c:v>396609.08999999997</c:v>
                </c:pt>
                <c:pt idx="5">
                  <c:v>367001.64999999997</c:v>
                </c:pt>
                <c:pt idx="6">
                  <c:v>359655.72999999992</c:v>
                </c:pt>
                <c:pt idx="7">
                  <c:v>275298.94999999995</c:v>
                </c:pt>
              </c:numCache>
            </c:numRef>
          </c:val>
          <c:smooth val="0"/>
          <c:extLst>
            <c:ext xmlns:c16="http://schemas.microsoft.com/office/drawing/2014/chart" uri="{C3380CC4-5D6E-409C-BE32-E72D297353CC}">
              <c16:uniqueId val="{00000001-6FA6-4832-8E04-80EBD5FD87A4}"/>
            </c:ext>
          </c:extLst>
        </c:ser>
        <c:dLbls>
          <c:dLblPos val="t"/>
          <c:showLegendKey val="0"/>
          <c:showVal val="1"/>
          <c:showCatName val="0"/>
          <c:showSerName val="0"/>
          <c:showPercent val="0"/>
          <c:showBubbleSize val="0"/>
        </c:dLbls>
        <c:marker val="1"/>
        <c:smooth val="0"/>
        <c:axId val="308925311"/>
        <c:axId val="308110703"/>
      </c:lineChart>
      <c:catAx>
        <c:axId val="3089253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08110703"/>
        <c:crosses val="autoZero"/>
        <c:auto val="1"/>
        <c:lblAlgn val="ctr"/>
        <c:lblOffset val="100"/>
        <c:noMultiLvlLbl val="0"/>
      </c:catAx>
      <c:valAx>
        <c:axId val="308110703"/>
        <c:scaling>
          <c:orientation val="minMax"/>
        </c:scaling>
        <c:delete val="1"/>
        <c:axPos val="l"/>
        <c:numFmt formatCode="_(&quot;$&quot;* #,##0_);_(&quot;$&quot;* \(#,##0\);_(&quot;$&quot;* &quot;-&quot;??_);_(@_)" sourceLinked="1"/>
        <c:majorTickMark val="none"/>
        <c:minorTickMark val="none"/>
        <c:tickLblPos val="nextTo"/>
        <c:crossAx val="30892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Sales.xlsx]Sales by Country!PivotTable2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
            </a:r>
            <a:r>
              <a:rPr lang="en-US" b="1"/>
              <a:t>Sales by Countries</a:t>
            </a:r>
          </a:p>
        </c:rich>
      </c:tx>
      <c:layout>
        <c:manualLayout>
          <c:xMode val="edge"/>
          <c:yMode val="edge"/>
          <c:x val="0.34480555555555553"/>
          <c:y val="1.3888888888888888E-2"/>
        </c:manualLayout>
      </c:layout>
      <c:overlay val="0"/>
      <c:spPr>
        <a:noFill/>
        <a:ln>
          <a:noFill/>
        </a:ln>
        <a:effectLst/>
      </c:sp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115368912219305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3285422134733158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293467483231262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299409448818897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9291435613062233E-3"/>
              <c:y val="-0.2973622047244094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3653218868474774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9291435613062233E-3"/>
              <c:y val="-0.2973622047244094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299409448818897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2293467483231262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3285422134733158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3115368912219305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3653218868474774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4.9291435613062233E-3"/>
              <c:y val="-0.2973622047244094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2299409448818897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2293467483231262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3285422134733158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3115368912219305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3653218868474774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4.9291435613062233E-3"/>
              <c:y val="-0.29736220472440944"/>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0.22994094488188976"/>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22934674832312626"/>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32854221347331586"/>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0.31153689122193057"/>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
              <c:y val="-0.36532188684747741"/>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10289587184228E-2"/>
          <c:y val="0.12078703703703704"/>
          <c:w val="0.9457794208256316"/>
          <c:h val="0.77181357538640982"/>
        </c:manualLayout>
      </c:layout>
      <c:barChart>
        <c:barDir val="col"/>
        <c:grouping val="stacked"/>
        <c:varyColors val="0"/>
        <c:ser>
          <c:idx val="0"/>
          <c:order val="0"/>
          <c:tx>
            <c:strRef>
              <c:f>'Sales by Country'!$B$3</c:f>
              <c:strCache>
                <c:ptCount val="1"/>
                <c:pt idx="0">
                  <c:v>Total</c:v>
                </c:pt>
              </c:strCache>
            </c:strRef>
          </c:tx>
          <c:spPr>
            <a:solidFill>
              <a:schemeClr val="accent1"/>
            </a:solidFill>
            <a:ln>
              <a:noFill/>
            </a:ln>
            <a:effectLst/>
          </c:spPr>
          <c:invertIfNegative val="0"/>
          <c:dLbls>
            <c:dLbl>
              <c:idx val="0"/>
              <c:layout>
                <c:manualLayout>
                  <c:x val="4.9291435613062233E-3"/>
                  <c:y val="-0.297362204724409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67-46E1-A46F-95E4261464D2}"/>
                </c:ext>
              </c:extLst>
            </c:dLbl>
            <c:dLbl>
              <c:idx val="1"/>
              <c:layout>
                <c:manualLayout>
                  <c:x val="0"/>
                  <c:y val="-0.229940944881889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67-46E1-A46F-95E4261464D2}"/>
                </c:ext>
              </c:extLst>
            </c:dLbl>
            <c:dLbl>
              <c:idx val="2"/>
              <c:layout>
                <c:manualLayout>
                  <c:x val="0"/>
                  <c:y val="-0.229346748323126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967-46E1-A46F-95E4261464D2}"/>
                </c:ext>
              </c:extLst>
            </c:dLbl>
            <c:dLbl>
              <c:idx val="3"/>
              <c:layout>
                <c:manualLayout>
                  <c:x val="0"/>
                  <c:y val="-0.328542213473315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67-46E1-A46F-95E4261464D2}"/>
                </c:ext>
              </c:extLst>
            </c:dLbl>
            <c:dLbl>
              <c:idx val="4"/>
              <c:layout>
                <c:manualLayout>
                  <c:x val="0"/>
                  <c:y val="-0.311536891221930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967-46E1-A46F-95E4261464D2}"/>
                </c:ext>
              </c:extLst>
            </c:dLbl>
            <c:dLbl>
              <c:idx val="5"/>
              <c:layout>
                <c:manualLayout>
                  <c:x val="0"/>
                  <c:y val="-0.36532188684747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967-46E1-A46F-95E4261464D2}"/>
                </c:ext>
              </c:extLst>
            </c:dLbl>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Country'!$A$4:$A$10</c:f>
              <c:strCache>
                <c:ptCount val="6"/>
                <c:pt idx="0">
                  <c:v>Australia</c:v>
                </c:pt>
                <c:pt idx="1">
                  <c:v>Canada</c:v>
                </c:pt>
                <c:pt idx="2">
                  <c:v>India</c:v>
                </c:pt>
                <c:pt idx="3">
                  <c:v>New Zealand</c:v>
                </c:pt>
                <c:pt idx="4">
                  <c:v>UK</c:v>
                </c:pt>
                <c:pt idx="5">
                  <c:v>USA</c:v>
                </c:pt>
              </c:strCache>
            </c:strRef>
          </c:cat>
          <c:val>
            <c:numRef>
              <c:f>'Sales by Country'!$B$4:$B$10</c:f>
              <c:numCache>
                <c:formatCode>General</c:formatCode>
                <c:ptCount val="6"/>
                <c:pt idx="0">
                  <c:v>505497.64</c:v>
                </c:pt>
                <c:pt idx="1">
                  <c:v>374562.30999999994</c:v>
                </c:pt>
                <c:pt idx="2">
                  <c:v>346434.91999999993</c:v>
                </c:pt>
                <c:pt idx="3">
                  <c:v>557059.84999999986</c:v>
                </c:pt>
                <c:pt idx="4">
                  <c:v>497061.54000000004</c:v>
                </c:pt>
                <c:pt idx="5">
                  <c:v>628487.85999999975</c:v>
                </c:pt>
              </c:numCache>
            </c:numRef>
          </c:val>
          <c:extLst>
            <c:ext xmlns:c16="http://schemas.microsoft.com/office/drawing/2014/chart" uri="{C3380CC4-5D6E-409C-BE32-E72D297353CC}">
              <c16:uniqueId val="{0000000E-6967-46E1-A46F-95E4261464D2}"/>
            </c:ext>
          </c:extLst>
        </c:ser>
        <c:dLbls>
          <c:dLblPos val="ctr"/>
          <c:showLegendKey val="0"/>
          <c:showVal val="1"/>
          <c:showCatName val="0"/>
          <c:showSerName val="0"/>
          <c:showPercent val="0"/>
          <c:showBubbleSize val="0"/>
        </c:dLbls>
        <c:gapWidth val="150"/>
        <c:overlap val="100"/>
        <c:axId val="485225535"/>
        <c:axId val="587235151"/>
      </c:barChart>
      <c:catAx>
        <c:axId val="4852255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7235151"/>
        <c:crosses val="autoZero"/>
        <c:auto val="1"/>
        <c:lblAlgn val="ctr"/>
        <c:lblOffset val="100"/>
        <c:noMultiLvlLbl val="0"/>
      </c:catAx>
      <c:valAx>
        <c:axId val="587235151"/>
        <c:scaling>
          <c:orientation val="minMax"/>
        </c:scaling>
        <c:delete val="1"/>
        <c:axPos val="l"/>
        <c:numFmt formatCode="General" sourceLinked="1"/>
        <c:majorTickMark val="none"/>
        <c:minorTickMark val="none"/>
        <c:tickLblPos val="nextTo"/>
        <c:crossAx val="485225535"/>
        <c:crosses val="autoZero"/>
        <c:crossBetween val="between"/>
      </c:valAx>
    </c:plotArea>
    <c:plotVisOnly val="1"/>
    <c:dispBlanksAs val="gap"/>
    <c:showDLblsOverMax val="0"/>
    <c:extLst/>
  </c:chart>
  <c:spPr>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Sales.xlsx]Boxes Shipped by Month!PivotTable3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Boxed Shipped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57284961966062E-2"/>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57284961966062E-2"/>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57284961966062E-2"/>
              <c:y val="2.2801837270341207E-3"/>
            </c:manualLayout>
          </c:layout>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46050321825628E-2"/>
          <c:y val="0.14856481481481484"/>
          <c:w val="0.94850789935634872"/>
          <c:h val="0.74403579760863225"/>
        </c:manualLayout>
      </c:layout>
      <c:lineChart>
        <c:grouping val="standard"/>
        <c:varyColors val="0"/>
        <c:ser>
          <c:idx val="0"/>
          <c:order val="0"/>
          <c:tx>
            <c:strRef>
              <c:f>'Boxes Shipped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79E1-4F8D-98AF-1F05D96176E9}"/>
              </c:ext>
            </c:extLst>
          </c:dPt>
          <c:dLbls>
            <c:dLbl>
              <c:idx val="2"/>
              <c:layout>
                <c:manualLayout>
                  <c:x val="-9.57284961966062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E1-4F8D-98AF-1F05D96176E9}"/>
                </c:ext>
              </c:extLst>
            </c:dLbl>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'Boxes Shipped by Month'!$A$4:$A$12</c:f>
              <c:strCache>
                <c:ptCount val="8"/>
                <c:pt idx="0">
                  <c:v>Jan</c:v>
                </c:pt>
                <c:pt idx="1">
                  <c:v>Feb</c:v>
                </c:pt>
                <c:pt idx="2">
                  <c:v>Mar</c:v>
                </c:pt>
                <c:pt idx="3">
                  <c:v>Apr</c:v>
                </c:pt>
                <c:pt idx="4">
                  <c:v>May</c:v>
                </c:pt>
                <c:pt idx="5">
                  <c:v>Jun</c:v>
                </c:pt>
                <c:pt idx="6">
                  <c:v>Jul</c:v>
                </c:pt>
                <c:pt idx="7">
                  <c:v>Aug</c:v>
                </c:pt>
              </c:strCache>
            </c:strRef>
          </c:cat>
          <c:val>
            <c:numRef>
              <c:f>'Boxes Shipped by Month'!$B$4:$B$12</c:f>
              <c:numCache>
                <c:formatCode>General</c:formatCode>
                <c:ptCount val="8"/>
                <c:pt idx="0">
                  <c:v>11795</c:v>
                </c:pt>
                <c:pt idx="1">
                  <c:v>6963</c:v>
                </c:pt>
                <c:pt idx="2">
                  <c:v>15167</c:v>
                </c:pt>
                <c:pt idx="3">
                  <c:v>14483</c:v>
                </c:pt>
                <c:pt idx="4">
                  <c:v>12583</c:v>
                </c:pt>
                <c:pt idx="5">
                  <c:v>11536</c:v>
                </c:pt>
                <c:pt idx="6">
                  <c:v>10852</c:v>
                </c:pt>
                <c:pt idx="7">
                  <c:v>9774</c:v>
                </c:pt>
              </c:numCache>
            </c:numRef>
          </c:val>
          <c:smooth val="0"/>
          <c:extLst>
            <c:ext xmlns:c16="http://schemas.microsoft.com/office/drawing/2014/chart" uri="{C3380CC4-5D6E-409C-BE32-E72D297353CC}">
              <c16:uniqueId val="{00000001-79E1-4F8D-98AF-1F05D96176E9}"/>
            </c:ext>
          </c:extLst>
        </c:ser>
        <c:dLbls>
          <c:dLblPos val="t"/>
          <c:showLegendKey val="0"/>
          <c:showVal val="1"/>
          <c:showCatName val="0"/>
          <c:showSerName val="0"/>
          <c:showPercent val="0"/>
          <c:showBubbleSize val="0"/>
        </c:dLbls>
        <c:marker val="1"/>
        <c:smooth val="0"/>
        <c:axId val="584251247"/>
        <c:axId val="360601951"/>
      </c:lineChart>
      <c:catAx>
        <c:axId val="584251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0601951"/>
        <c:crosses val="autoZero"/>
        <c:auto val="1"/>
        <c:lblAlgn val="ctr"/>
        <c:lblOffset val="100"/>
        <c:noMultiLvlLbl val="0"/>
      </c:catAx>
      <c:valAx>
        <c:axId val="360601951"/>
        <c:scaling>
          <c:orientation val="minMax"/>
        </c:scaling>
        <c:delete val="1"/>
        <c:axPos val="l"/>
        <c:numFmt formatCode="General" sourceLinked="1"/>
        <c:majorTickMark val="none"/>
        <c:minorTickMark val="none"/>
        <c:tickLblPos val="nextTo"/>
        <c:crossAx val="58425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Sales.xlsx]Total Sales by Sales Person!PivotTable4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3758355205599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930444006999125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9366163604549422"/>
              <c:y val="4.629629629629544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4594728783902012"/>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0504483814523176"/>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813875765529309"/>
              <c:y val="-8.4875562720133283E-1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165699912510937"/>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1633573928258968"/>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6834120734908135"/>
              <c:y val="4.629629629629629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1168569553805764"/>
              <c:y val="4.629629629629629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1168569553805764"/>
              <c:y val="4.629629629629629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6834120734908135"/>
              <c:y val="4.629629629629629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31633573928258968"/>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3165699912510937"/>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2813875765529309"/>
              <c:y val="-8.4875562720133283E-1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30504483814523176"/>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24594728783902012"/>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29366163604549422"/>
              <c:y val="4.629629629629544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3930444006999125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33758355205599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31168569553805764"/>
              <c:y val="4.6296296296296294E-3"/>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26834120734908135"/>
              <c:y val="4.6296296296296294E-3"/>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31633573928258968"/>
              <c:y val="0"/>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3165699912510937"/>
              <c:y val="0"/>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2813875765529309"/>
              <c:y val="-8.4875562720133283E-17"/>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30504483814523176"/>
              <c:y val="0"/>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24594728783902012"/>
              <c:y val="0"/>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29366163604549422"/>
              <c:y val="4.6296296296295444E-3"/>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39304440069991253"/>
              <c:y val="0"/>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0.337583552055993"/>
              <c:y val="0"/>
            </c:manualLayout>
          </c:layout>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 Sales by Sales Person'!$B$3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ABD5-4430-A51F-B8F292B0F77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ABD5-4430-A51F-B8F292B0F77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ABD5-4430-A51F-B8F292B0F77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ABD5-4430-A51F-B8F292B0F77A}"/>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ABD5-4430-A51F-B8F292B0F77A}"/>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ABD5-4430-A51F-B8F292B0F77A}"/>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ABD5-4430-A51F-B8F292B0F77A}"/>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7-ABD5-4430-A51F-B8F292B0F77A}"/>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8-ABD5-4430-A51F-B8F292B0F77A}"/>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9-ABD5-4430-A51F-B8F292B0F77A}"/>
              </c:ext>
            </c:extLst>
          </c:dPt>
          <c:dLbls>
            <c:dLbl>
              <c:idx val="0"/>
              <c:layout>
                <c:manualLayout>
                  <c:x val="0.31168569553805764"/>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D5-4430-A51F-B8F292B0F77A}"/>
                </c:ext>
              </c:extLst>
            </c:dLbl>
            <c:dLbl>
              <c:idx val="1"/>
              <c:layout>
                <c:manualLayout>
                  <c:x val="0.2683412073490813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D5-4430-A51F-B8F292B0F77A}"/>
                </c:ext>
              </c:extLst>
            </c:dLbl>
            <c:dLbl>
              <c:idx val="2"/>
              <c:layout>
                <c:manualLayout>
                  <c:x val="0.3163357392825896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D5-4430-A51F-B8F292B0F77A}"/>
                </c:ext>
              </c:extLst>
            </c:dLbl>
            <c:dLbl>
              <c:idx val="3"/>
              <c:layout>
                <c:manualLayout>
                  <c:x val="0.316569991251093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D5-4430-A51F-B8F292B0F77A}"/>
                </c:ext>
              </c:extLst>
            </c:dLbl>
            <c:dLbl>
              <c:idx val="4"/>
              <c:layout>
                <c:manualLayout>
                  <c:x val="0.281387576552930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D5-4430-A51F-B8F292B0F77A}"/>
                </c:ext>
              </c:extLst>
            </c:dLbl>
            <c:dLbl>
              <c:idx val="5"/>
              <c:layout>
                <c:manualLayout>
                  <c:x val="0.305044838145231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D5-4430-A51F-B8F292B0F77A}"/>
                </c:ext>
              </c:extLst>
            </c:dLbl>
            <c:dLbl>
              <c:idx val="6"/>
              <c:layout>
                <c:manualLayout>
                  <c:x val="0.2459472878390201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D5-4430-A51F-B8F292B0F77A}"/>
                </c:ext>
              </c:extLst>
            </c:dLbl>
            <c:dLbl>
              <c:idx val="7"/>
              <c:layout>
                <c:manualLayout>
                  <c:x val="0.29366163604549422"/>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D5-4430-A51F-B8F292B0F77A}"/>
                </c:ext>
              </c:extLst>
            </c:dLbl>
            <c:dLbl>
              <c:idx val="8"/>
              <c:layout>
                <c:manualLayout>
                  <c:x val="0.393044400699912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D5-4430-A51F-B8F292B0F77A}"/>
                </c:ext>
              </c:extLst>
            </c:dLbl>
            <c:dLbl>
              <c:idx val="9"/>
              <c:layout>
                <c:manualLayout>
                  <c:x val="0.33758355205599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D5-4430-A51F-B8F292B0F77A}"/>
                </c:ext>
              </c:extLst>
            </c:dLbl>
            <c:numFmt formatCode="#,##0;\-#,##0" sourceLinked="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Sales Person'!$A$4:$A$14</c:f>
              <c:strCache>
                <c:ptCount val="10"/>
                <c:pt idx="0">
                  <c:v>Ananya Gupta</c:v>
                </c:pt>
                <c:pt idx="1">
                  <c:v>Ava Sharma</c:v>
                </c:pt>
                <c:pt idx="2">
                  <c:v>Ethan Reddy</c:v>
                </c:pt>
                <c:pt idx="3">
                  <c:v>Isabella Roy</c:v>
                </c:pt>
                <c:pt idx="4">
                  <c:v>Liam Patel</c:v>
                </c:pt>
                <c:pt idx="5">
                  <c:v>Lucas Verma</c:v>
                </c:pt>
                <c:pt idx="6">
                  <c:v>Mason Kapoor</c:v>
                </c:pt>
                <c:pt idx="7">
                  <c:v>Noah Mehta</c:v>
                </c:pt>
                <c:pt idx="8">
                  <c:v>Olivia D'Souza</c:v>
                </c:pt>
                <c:pt idx="9">
                  <c:v>Sophia Nair</c:v>
                </c:pt>
              </c:strCache>
            </c:strRef>
          </c:cat>
          <c:val>
            <c:numRef>
              <c:f>'Total Sales by Sales Person'!$B$4:$B$14</c:f>
              <c:numCache>
                <c:formatCode>General</c:formatCode>
                <c:ptCount val="10"/>
                <c:pt idx="0">
                  <c:v>293204.6700000001</c:v>
                </c:pt>
                <c:pt idx="1">
                  <c:v>246174.27999999997</c:v>
                </c:pt>
                <c:pt idx="2">
                  <c:v>298595.61</c:v>
                </c:pt>
                <c:pt idx="3">
                  <c:v>302087.59999999998</c:v>
                </c:pt>
                <c:pt idx="4">
                  <c:v>270960.55000000005</c:v>
                </c:pt>
                <c:pt idx="5">
                  <c:v>295166.91000000009</c:v>
                </c:pt>
                <c:pt idx="6">
                  <c:v>223432.68999999994</c:v>
                </c:pt>
                <c:pt idx="7">
                  <c:v>272188.08</c:v>
                </c:pt>
                <c:pt idx="8">
                  <c:v>387405.90999999992</c:v>
                </c:pt>
                <c:pt idx="9">
                  <c:v>319887.82</c:v>
                </c:pt>
              </c:numCache>
            </c:numRef>
          </c:val>
          <c:extLst>
            <c:ext xmlns:c16="http://schemas.microsoft.com/office/drawing/2014/chart" uri="{C3380CC4-5D6E-409C-BE32-E72D297353CC}">
              <c16:uniqueId val="{0000000A-ABD5-4430-A51F-B8F292B0F77A}"/>
            </c:ext>
          </c:extLst>
        </c:ser>
        <c:dLbls>
          <c:dLblPos val="inEnd"/>
          <c:showLegendKey val="0"/>
          <c:showVal val="1"/>
          <c:showCatName val="0"/>
          <c:showSerName val="0"/>
          <c:showPercent val="0"/>
          <c:showBubbleSize val="0"/>
        </c:dLbls>
        <c:gapWidth val="150"/>
        <c:overlap val="100"/>
        <c:axId val="594777279"/>
        <c:axId val="592987039"/>
      </c:barChart>
      <c:catAx>
        <c:axId val="5947772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2987039"/>
        <c:crosses val="autoZero"/>
        <c:auto val="1"/>
        <c:lblAlgn val="ctr"/>
        <c:lblOffset val="100"/>
        <c:noMultiLvlLbl val="0"/>
      </c:catAx>
      <c:valAx>
        <c:axId val="592987039"/>
        <c:scaling>
          <c:orientation val="minMax"/>
        </c:scaling>
        <c:delete val="1"/>
        <c:axPos val="b"/>
        <c:numFmt formatCode="General" sourceLinked="1"/>
        <c:majorTickMark val="none"/>
        <c:minorTickMark val="none"/>
        <c:tickLblPos val="nextTo"/>
        <c:crossAx val="59477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Sales.xlsx]Sales by Months!PivotTable1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months</a:t>
            </a:r>
          </a:p>
        </c:rich>
      </c:tx>
      <c:layout>
        <c:manualLayout>
          <c:xMode val="edge"/>
          <c:yMode val="edge"/>
          <c:x val="0.33259711286089239"/>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14291447944006999"/>
          <c:w val="0.96944444444444444"/>
          <c:h val="0.67200313502478848"/>
        </c:manualLayout>
      </c:layout>
      <c:lineChart>
        <c:grouping val="standard"/>
        <c:varyColors val="0"/>
        <c:ser>
          <c:idx val="0"/>
          <c:order val="0"/>
          <c:tx>
            <c:strRef>
              <c:f>'Sales by Months'!$B$3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9-121F-4818-87A5-605D84D67D48}"/>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1F-4818-87A5-605D84D67D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by Months'!$A$4:$A$12</c:f>
              <c:strCache>
                <c:ptCount val="8"/>
                <c:pt idx="0">
                  <c:v>Jan</c:v>
                </c:pt>
                <c:pt idx="1">
                  <c:v>Feb</c:v>
                </c:pt>
                <c:pt idx="2">
                  <c:v>Mar</c:v>
                </c:pt>
                <c:pt idx="3">
                  <c:v>Apr</c:v>
                </c:pt>
                <c:pt idx="4">
                  <c:v>May</c:v>
                </c:pt>
                <c:pt idx="5">
                  <c:v>Jun</c:v>
                </c:pt>
                <c:pt idx="6">
                  <c:v>Jul</c:v>
                </c:pt>
                <c:pt idx="7">
                  <c:v>Aug</c:v>
                </c:pt>
              </c:strCache>
            </c:strRef>
          </c:cat>
          <c:val>
            <c:numRef>
              <c:f>'Sales by Months'!$B$4:$B$12</c:f>
              <c:numCache>
                <c:formatCode>_("$"* #,##0_);_("$"* \(#,##0\);_("$"* "-"??_);_(@_)</c:formatCode>
                <c:ptCount val="8"/>
                <c:pt idx="0">
                  <c:v>359762.51000000007</c:v>
                </c:pt>
                <c:pt idx="1">
                  <c:v>214024.56000000003</c:v>
                </c:pt>
                <c:pt idx="2">
                  <c:v>484101.58999999991</c:v>
                </c:pt>
                <c:pt idx="3">
                  <c:v>452650.04000000004</c:v>
                </c:pt>
                <c:pt idx="4">
                  <c:v>396609.08999999997</c:v>
                </c:pt>
                <c:pt idx="5">
                  <c:v>367001.64999999997</c:v>
                </c:pt>
                <c:pt idx="6">
                  <c:v>359655.72999999992</c:v>
                </c:pt>
                <c:pt idx="7">
                  <c:v>275298.94999999995</c:v>
                </c:pt>
              </c:numCache>
            </c:numRef>
          </c:val>
          <c:smooth val="0"/>
          <c:extLst>
            <c:ext xmlns:c16="http://schemas.microsoft.com/office/drawing/2014/chart" uri="{C3380CC4-5D6E-409C-BE32-E72D297353CC}">
              <c16:uniqueId val="{00000000-121F-4818-87A5-605D84D67D48}"/>
            </c:ext>
          </c:extLst>
        </c:ser>
        <c:dLbls>
          <c:dLblPos val="t"/>
          <c:showLegendKey val="0"/>
          <c:showVal val="1"/>
          <c:showCatName val="0"/>
          <c:showSerName val="0"/>
          <c:showPercent val="0"/>
          <c:showBubbleSize val="0"/>
        </c:dLbls>
        <c:marker val="1"/>
        <c:smooth val="0"/>
        <c:axId val="308925311"/>
        <c:axId val="308110703"/>
      </c:lineChart>
      <c:catAx>
        <c:axId val="3089253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08110703"/>
        <c:crosses val="autoZero"/>
        <c:auto val="1"/>
        <c:lblAlgn val="ctr"/>
        <c:lblOffset val="100"/>
        <c:noMultiLvlLbl val="0"/>
      </c:catAx>
      <c:valAx>
        <c:axId val="308110703"/>
        <c:scaling>
          <c:orientation val="minMax"/>
        </c:scaling>
        <c:delete val="1"/>
        <c:axPos val="l"/>
        <c:numFmt formatCode="_(&quot;$&quot;* #,##0_);_(&quot;$&quot;* \(#,##0\);_(&quot;$&quot;* &quot;-&quot;??_);_(@_)" sourceLinked="1"/>
        <c:majorTickMark val="none"/>
        <c:minorTickMark val="none"/>
        <c:tickLblPos val="nextTo"/>
        <c:crossAx val="30892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Sales.xlsx]Sales by Country!PivotTable2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Countries</a:t>
            </a:r>
            <a:endParaRPr lang="en-US" b="1"/>
          </a:p>
        </c:rich>
      </c:tx>
      <c:layout>
        <c:manualLayout>
          <c:xMode val="edge"/>
          <c:yMode val="edge"/>
          <c:x val="0.3448055555555555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115368912219305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3285422134733158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293467483231262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2994094488188976"/>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9291435613062233E-3"/>
              <c:y val="-0.2973622047244094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3653218868474774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Country'!$B$3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10B9-4BC5-B1C9-357817E5266E}"/>
              </c:ext>
            </c:extLst>
          </c:dPt>
          <c:dPt>
            <c:idx val="1"/>
            <c:invertIfNegative val="0"/>
            <c:bubble3D val="0"/>
            <c:extLst>
              <c:ext xmlns:c16="http://schemas.microsoft.com/office/drawing/2014/chart" uri="{C3380CC4-5D6E-409C-BE32-E72D297353CC}">
                <c16:uniqueId val="{00000004-10B9-4BC5-B1C9-357817E5266E}"/>
              </c:ext>
            </c:extLst>
          </c:dPt>
          <c:dPt>
            <c:idx val="2"/>
            <c:invertIfNegative val="0"/>
            <c:bubble3D val="0"/>
            <c:extLst>
              <c:ext xmlns:c16="http://schemas.microsoft.com/office/drawing/2014/chart" uri="{C3380CC4-5D6E-409C-BE32-E72D297353CC}">
                <c16:uniqueId val="{00000003-10B9-4BC5-B1C9-357817E5266E}"/>
              </c:ext>
            </c:extLst>
          </c:dPt>
          <c:dPt>
            <c:idx val="3"/>
            <c:invertIfNegative val="0"/>
            <c:bubble3D val="0"/>
            <c:extLst>
              <c:ext xmlns:c16="http://schemas.microsoft.com/office/drawing/2014/chart" uri="{C3380CC4-5D6E-409C-BE32-E72D297353CC}">
                <c16:uniqueId val="{00000002-10B9-4BC5-B1C9-357817E5266E}"/>
              </c:ext>
            </c:extLst>
          </c:dPt>
          <c:dPt>
            <c:idx val="4"/>
            <c:invertIfNegative val="0"/>
            <c:bubble3D val="0"/>
            <c:extLst>
              <c:ext xmlns:c16="http://schemas.microsoft.com/office/drawing/2014/chart" uri="{C3380CC4-5D6E-409C-BE32-E72D297353CC}">
                <c16:uniqueId val="{00000001-10B9-4BC5-B1C9-357817E5266E}"/>
              </c:ext>
            </c:extLst>
          </c:dPt>
          <c:dPt>
            <c:idx val="5"/>
            <c:invertIfNegative val="0"/>
            <c:bubble3D val="0"/>
            <c:extLst>
              <c:ext xmlns:c16="http://schemas.microsoft.com/office/drawing/2014/chart" uri="{C3380CC4-5D6E-409C-BE32-E72D297353CC}">
                <c16:uniqueId val="{00000006-10B9-4BC5-B1C9-357817E5266E}"/>
              </c:ext>
            </c:extLst>
          </c:dPt>
          <c:dLbls>
            <c:dLbl>
              <c:idx val="0"/>
              <c:layout>
                <c:manualLayout>
                  <c:x val="4.9291435613062233E-3"/>
                  <c:y val="-0.297362204724409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B9-4BC5-B1C9-357817E5266E}"/>
                </c:ext>
              </c:extLst>
            </c:dLbl>
            <c:dLbl>
              <c:idx val="1"/>
              <c:layout>
                <c:manualLayout>
                  <c:x val="0"/>
                  <c:y val="-0.229940944881889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B9-4BC5-B1C9-357817E5266E}"/>
                </c:ext>
              </c:extLst>
            </c:dLbl>
            <c:dLbl>
              <c:idx val="2"/>
              <c:layout>
                <c:manualLayout>
                  <c:x val="0"/>
                  <c:y val="-0.229346748323126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B9-4BC5-B1C9-357817E5266E}"/>
                </c:ext>
              </c:extLst>
            </c:dLbl>
            <c:dLbl>
              <c:idx val="3"/>
              <c:layout>
                <c:manualLayout>
                  <c:x val="0"/>
                  <c:y val="-0.328542213473315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B9-4BC5-B1C9-357817E5266E}"/>
                </c:ext>
              </c:extLst>
            </c:dLbl>
            <c:dLbl>
              <c:idx val="4"/>
              <c:layout>
                <c:manualLayout>
                  <c:x val="0"/>
                  <c:y val="-0.311536891221930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B9-4BC5-B1C9-357817E5266E}"/>
                </c:ext>
              </c:extLst>
            </c:dLbl>
            <c:dLbl>
              <c:idx val="5"/>
              <c:layout>
                <c:manualLayout>
                  <c:x val="0"/>
                  <c:y val="-0.365321886847477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B9-4BC5-B1C9-357817E5266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Country'!$A$4:$A$10</c:f>
              <c:strCache>
                <c:ptCount val="6"/>
                <c:pt idx="0">
                  <c:v>Australia</c:v>
                </c:pt>
                <c:pt idx="1">
                  <c:v>Canada</c:v>
                </c:pt>
                <c:pt idx="2">
                  <c:v>India</c:v>
                </c:pt>
                <c:pt idx="3">
                  <c:v>New Zealand</c:v>
                </c:pt>
                <c:pt idx="4">
                  <c:v>UK</c:v>
                </c:pt>
                <c:pt idx="5">
                  <c:v>USA</c:v>
                </c:pt>
              </c:strCache>
            </c:strRef>
          </c:cat>
          <c:val>
            <c:numRef>
              <c:f>'Sales by Country'!$B$4:$B$10</c:f>
              <c:numCache>
                <c:formatCode>General</c:formatCode>
                <c:ptCount val="6"/>
                <c:pt idx="0">
                  <c:v>505497.64</c:v>
                </c:pt>
                <c:pt idx="1">
                  <c:v>374562.30999999994</c:v>
                </c:pt>
                <c:pt idx="2">
                  <c:v>346434.91999999993</c:v>
                </c:pt>
                <c:pt idx="3">
                  <c:v>557059.84999999986</c:v>
                </c:pt>
                <c:pt idx="4">
                  <c:v>497061.54000000004</c:v>
                </c:pt>
                <c:pt idx="5">
                  <c:v>628487.85999999975</c:v>
                </c:pt>
              </c:numCache>
            </c:numRef>
          </c:val>
          <c:extLst>
            <c:ext xmlns:c16="http://schemas.microsoft.com/office/drawing/2014/chart" uri="{C3380CC4-5D6E-409C-BE32-E72D297353CC}">
              <c16:uniqueId val="{00000000-10B9-4BC5-B1C9-357817E5266E}"/>
            </c:ext>
          </c:extLst>
        </c:ser>
        <c:dLbls>
          <c:dLblPos val="ctr"/>
          <c:showLegendKey val="0"/>
          <c:showVal val="1"/>
          <c:showCatName val="0"/>
          <c:showSerName val="0"/>
          <c:showPercent val="0"/>
          <c:showBubbleSize val="0"/>
        </c:dLbls>
        <c:gapWidth val="150"/>
        <c:overlap val="100"/>
        <c:axId val="485225535"/>
        <c:axId val="587235151"/>
      </c:barChart>
      <c:catAx>
        <c:axId val="4852255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7235151"/>
        <c:crosses val="autoZero"/>
        <c:auto val="1"/>
        <c:lblAlgn val="ctr"/>
        <c:lblOffset val="100"/>
        <c:noMultiLvlLbl val="0"/>
      </c:catAx>
      <c:valAx>
        <c:axId val="587235151"/>
        <c:scaling>
          <c:orientation val="minMax"/>
        </c:scaling>
        <c:delete val="1"/>
        <c:axPos val="l"/>
        <c:numFmt formatCode="General" sourceLinked="1"/>
        <c:majorTickMark val="none"/>
        <c:minorTickMark val="none"/>
        <c:tickLblPos val="nextTo"/>
        <c:crossAx val="48522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Sales.xlsx]Boxes Shipped by 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Boxed Shipped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57284961966062E-2"/>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46050321825628E-2"/>
          <c:y val="0.14856481481481484"/>
          <c:w val="0.94850789935634872"/>
          <c:h val="0.74403579760863225"/>
        </c:manualLayout>
      </c:layout>
      <c:lineChart>
        <c:grouping val="standard"/>
        <c:varyColors val="0"/>
        <c:ser>
          <c:idx val="0"/>
          <c:order val="0"/>
          <c:tx>
            <c:strRef>
              <c:f>'Boxes Shipped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1250-4F89-9F2A-BD9813D2615E}"/>
              </c:ext>
            </c:extLst>
          </c:dPt>
          <c:dLbls>
            <c:dLbl>
              <c:idx val="2"/>
              <c:layout>
                <c:manualLayout>
                  <c:x val="-9.57284961966062E-2"/>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50-4F89-9F2A-BD9813D261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'Boxes Shipped by Month'!$A$4:$A$12</c:f>
              <c:strCache>
                <c:ptCount val="8"/>
                <c:pt idx="0">
                  <c:v>Jan</c:v>
                </c:pt>
                <c:pt idx="1">
                  <c:v>Feb</c:v>
                </c:pt>
                <c:pt idx="2">
                  <c:v>Mar</c:v>
                </c:pt>
                <c:pt idx="3">
                  <c:v>Apr</c:v>
                </c:pt>
                <c:pt idx="4">
                  <c:v>May</c:v>
                </c:pt>
                <c:pt idx="5">
                  <c:v>Jun</c:v>
                </c:pt>
                <c:pt idx="6">
                  <c:v>Jul</c:v>
                </c:pt>
                <c:pt idx="7">
                  <c:v>Aug</c:v>
                </c:pt>
              </c:strCache>
            </c:strRef>
          </c:cat>
          <c:val>
            <c:numRef>
              <c:f>'Boxes Shipped by Month'!$B$4:$B$12</c:f>
              <c:numCache>
                <c:formatCode>General</c:formatCode>
                <c:ptCount val="8"/>
                <c:pt idx="0">
                  <c:v>11795</c:v>
                </c:pt>
                <c:pt idx="1">
                  <c:v>6963</c:v>
                </c:pt>
                <c:pt idx="2">
                  <c:v>15167</c:v>
                </c:pt>
                <c:pt idx="3">
                  <c:v>14483</c:v>
                </c:pt>
                <c:pt idx="4">
                  <c:v>12583</c:v>
                </c:pt>
                <c:pt idx="5">
                  <c:v>11536</c:v>
                </c:pt>
                <c:pt idx="6">
                  <c:v>10852</c:v>
                </c:pt>
                <c:pt idx="7">
                  <c:v>9774</c:v>
                </c:pt>
              </c:numCache>
            </c:numRef>
          </c:val>
          <c:smooth val="0"/>
          <c:extLst>
            <c:ext xmlns:c16="http://schemas.microsoft.com/office/drawing/2014/chart" uri="{C3380CC4-5D6E-409C-BE32-E72D297353CC}">
              <c16:uniqueId val="{00000000-1250-4F89-9F2A-BD9813D2615E}"/>
            </c:ext>
          </c:extLst>
        </c:ser>
        <c:dLbls>
          <c:dLblPos val="t"/>
          <c:showLegendKey val="0"/>
          <c:showVal val="1"/>
          <c:showCatName val="0"/>
          <c:showSerName val="0"/>
          <c:showPercent val="0"/>
          <c:showBubbleSize val="0"/>
        </c:dLbls>
        <c:marker val="1"/>
        <c:smooth val="0"/>
        <c:axId val="584251247"/>
        <c:axId val="360601951"/>
      </c:lineChart>
      <c:catAx>
        <c:axId val="584251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0601951"/>
        <c:crosses val="autoZero"/>
        <c:auto val="1"/>
        <c:lblAlgn val="ctr"/>
        <c:lblOffset val="100"/>
        <c:noMultiLvlLbl val="0"/>
      </c:catAx>
      <c:valAx>
        <c:axId val="360601951"/>
        <c:scaling>
          <c:orientation val="minMax"/>
        </c:scaling>
        <c:delete val="1"/>
        <c:axPos val="l"/>
        <c:numFmt formatCode="General" sourceLinked="1"/>
        <c:majorTickMark val="none"/>
        <c:minorTickMark val="none"/>
        <c:tickLblPos val="nextTo"/>
        <c:crossAx val="58425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 Sales.xlsx]Total Sales by Sales Person!PivotTable4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3758355205599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930444006999125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9366163604549422"/>
              <c:y val="4.629629629629544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4594728783902012"/>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30504483814523176"/>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813875765529309"/>
              <c:y val="-8.4875562720133283E-1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165699912510937"/>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31633573928258968"/>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6834120734908135"/>
              <c:y val="4.629629629629629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1168569553805764"/>
              <c:y val="4.6296296296296294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 Sales by Sales Person'!$B$3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AAE5-400B-9056-2F0C2D3FE00A}"/>
              </c:ext>
            </c:extLst>
          </c:dPt>
          <c:dPt>
            <c:idx val="1"/>
            <c:invertIfNegative val="0"/>
            <c:bubble3D val="0"/>
            <c:extLst>
              <c:ext xmlns:c16="http://schemas.microsoft.com/office/drawing/2014/chart" uri="{C3380CC4-5D6E-409C-BE32-E72D297353CC}">
                <c16:uniqueId val="{00000009-AAE5-400B-9056-2F0C2D3FE00A}"/>
              </c:ext>
            </c:extLst>
          </c:dPt>
          <c:dPt>
            <c:idx val="2"/>
            <c:invertIfNegative val="0"/>
            <c:bubble3D val="0"/>
            <c:extLst>
              <c:ext xmlns:c16="http://schemas.microsoft.com/office/drawing/2014/chart" uri="{C3380CC4-5D6E-409C-BE32-E72D297353CC}">
                <c16:uniqueId val="{00000008-AAE5-400B-9056-2F0C2D3FE00A}"/>
              </c:ext>
            </c:extLst>
          </c:dPt>
          <c:dPt>
            <c:idx val="3"/>
            <c:invertIfNegative val="0"/>
            <c:bubble3D val="0"/>
            <c:extLst>
              <c:ext xmlns:c16="http://schemas.microsoft.com/office/drawing/2014/chart" uri="{C3380CC4-5D6E-409C-BE32-E72D297353CC}">
                <c16:uniqueId val="{00000007-AAE5-400B-9056-2F0C2D3FE00A}"/>
              </c:ext>
            </c:extLst>
          </c:dPt>
          <c:dPt>
            <c:idx val="4"/>
            <c:invertIfNegative val="0"/>
            <c:bubble3D val="0"/>
            <c:extLst>
              <c:ext xmlns:c16="http://schemas.microsoft.com/office/drawing/2014/chart" uri="{C3380CC4-5D6E-409C-BE32-E72D297353CC}">
                <c16:uniqueId val="{00000006-AAE5-400B-9056-2F0C2D3FE00A}"/>
              </c:ext>
            </c:extLst>
          </c:dPt>
          <c:dPt>
            <c:idx val="5"/>
            <c:invertIfNegative val="0"/>
            <c:bubble3D val="0"/>
            <c:extLst>
              <c:ext xmlns:c16="http://schemas.microsoft.com/office/drawing/2014/chart" uri="{C3380CC4-5D6E-409C-BE32-E72D297353CC}">
                <c16:uniqueId val="{00000005-AAE5-400B-9056-2F0C2D3FE00A}"/>
              </c:ext>
            </c:extLst>
          </c:dPt>
          <c:dPt>
            <c:idx val="6"/>
            <c:invertIfNegative val="0"/>
            <c:bubble3D val="0"/>
            <c:extLst>
              <c:ext xmlns:c16="http://schemas.microsoft.com/office/drawing/2014/chart" uri="{C3380CC4-5D6E-409C-BE32-E72D297353CC}">
                <c16:uniqueId val="{00000004-AAE5-400B-9056-2F0C2D3FE00A}"/>
              </c:ext>
            </c:extLst>
          </c:dPt>
          <c:dPt>
            <c:idx val="7"/>
            <c:invertIfNegative val="0"/>
            <c:bubble3D val="0"/>
            <c:extLst>
              <c:ext xmlns:c16="http://schemas.microsoft.com/office/drawing/2014/chart" uri="{C3380CC4-5D6E-409C-BE32-E72D297353CC}">
                <c16:uniqueId val="{00000003-AAE5-400B-9056-2F0C2D3FE00A}"/>
              </c:ext>
            </c:extLst>
          </c:dPt>
          <c:dPt>
            <c:idx val="8"/>
            <c:invertIfNegative val="0"/>
            <c:bubble3D val="0"/>
            <c:extLst>
              <c:ext xmlns:c16="http://schemas.microsoft.com/office/drawing/2014/chart" uri="{C3380CC4-5D6E-409C-BE32-E72D297353CC}">
                <c16:uniqueId val="{00000002-AAE5-400B-9056-2F0C2D3FE00A}"/>
              </c:ext>
            </c:extLst>
          </c:dPt>
          <c:dPt>
            <c:idx val="9"/>
            <c:invertIfNegative val="0"/>
            <c:bubble3D val="0"/>
            <c:extLst>
              <c:ext xmlns:c16="http://schemas.microsoft.com/office/drawing/2014/chart" uri="{C3380CC4-5D6E-409C-BE32-E72D297353CC}">
                <c16:uniqueId val="{00000001-AAE5-400B-9056-2F0C2D3FE00A}"/>
              </c:ext>
            </c:extLst>
          </c:dPt>
          <c:dLbls>
            <c:dLbl>
              <c:idx val="0"/>
              <c:layout>
                <c:manualLayout>
                  <c:x val="0.31168569553805764"/>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AE5-400B-9056-2F0C2D3FE00A}"/>
                </c:ext>
              </c:extLst>
            </c:dLbl>
            <c:dLbl>
              <c:idx val="1"/>
              <c:layout>
                <c:manualLayout>
                  <c:x val="0.2683412073490813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AE5-400B-9056-2F0C2D3FE00A}"/>
                </c:ext>
              </c:extLst>
            </c:dLbl>
            <c:dLbl>
              <c:idx val="2"/>
              <c:layout>
                <c:manualLayout>
                  <c:x val="0.3163357392825896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AE5-400B-9056-2F0C2D3FE00A}"/>
                </c:ext>
              </c:extLst>
            </c:dLbl>
            <c:dLbl>
              <c:idx val="3"/>
              <c:layout>
                <c:manualLayout>
                  <c:x val="0.316569991251093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E5-400B-9056-2F0C2D3FE00A}"/>
                </c:ext>
              </c:extLst>
            </c:dLbl>
            <c:dLbl>
              <c:idx val="4"/>
              <c:layout>
                <c:manualLayout>
                  <c:x val="0.281387576552930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E5-400B-9056-2F0C2D3FE00A}"/>
                </c:ext>
              </c:extLst>
            </c:dLbl>
            <c:dLbl>
              <c:idx val="5"/>
              <c:layout>
                <c:manualLayout>
                  <c:x val="0.3050448381452317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E5-400B-9056-2F0C2D3FE00A}"/>
                </c:ext>
              </c:extLst>
            </c:dLbl>
            <c:dLbl>
              <c:idx val="6"/>
              <c:layout>
                <c:manualLayout>
                  <c:x val="0.2459472878390201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E5-400B-9056-2F0C2D3FE00A}"/>
                </c:ext>
              </c:extLst>
            </c:dLbl>
            <c:dLbl>
              <c:idx val="7"/>
              <c:layout>
                <c:manualLayout>
                  <c:x val="0.29366163604549422"/>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E5-400B-9056-2F0C2D3FE00A}"/>
                </c:ext>
              </c:extLst>
            </c:dLbl>
            <c:dLbl>
              <c:idx val="8"/>
              <c:layout>
                <c:manualLayout>
                  <c:x val="0.393044400699912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E5-400B-9056-2F0C2D3FE00A}"/>
                </c:ext>
              </c:extLst>
            </c:dLbl>
            <c:dLbl>
              <c:idx val="9"/>
              <c:layout>
                <c:manualLayout>
                  <c:x val="0.33758355205599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E5-400B-9056-2F0C2D3FE00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Sales Person'!$A$4:$A$14</c:f>
              <c:strCache>
                <c:ptCount val="10"/>
                <c:pt idx="0">
                  <c:v>Ananya Gupta</c:v>
                </c:pt>
                <c:pt idx="1">
                  <c:v>Ava Sharma</c:v>
                </c:pt>
                <c:pt idx="2">
                  <c:v>Ethan Reddy</c:v>
                </c:pt>
                <c:pt idx="3">
                  <c:v>Isabella Roy</c:v>
                </c:pt>
                <c:pt idx="4">
                  <c:v>Liam Patel</c:v>
                </c:pt>
                <c:pt idx="5">
                  <c:v>Lucas Verma</c:v>
                </c:pt>
                <c:pt idx="6">
                  <c:v>Mason Kapoor</c:v>
                </c:pt>
                <c:pt idx="7">
                  <c:v>Noah Mehta</c:v>
                </c:pt>
                <c:pt idx="8">
                  <c:v>Olivia D'Souza</c:v>
                </c:pt>
                <c:pt idx="9">
                  <c:v>Sophia Nair</c:v>
                </c:pt>
              </c:strCache>
            </c:strRef>
          </c:cat>
          <c:val>
            <c:numRef>
              <c:f>'Total Sales by Sales Person'!$B$4:$B$14</c:f>
              <c:numCache>
                <c:formatCode>General</c:formatCode>
                <c:ptCount val="10"/>
                <c:pt idx="0">
                  <c:v>293204.6700000001</c:v>
                </c:pt>
                <c:pt idx="1">
                  <c:v>246174.27999999997</c:v>
                </c:pt>
                <c:pt idx="2">
                  <c:v>298595.61</c:v>
                </c:pt>
                <c:pt idx="3">
                  <c:v>302087.59999999998</c:v>
                </c:pt>
                <c:pt idx="4">
                  <c:v>270960.55000000005</c:v>
                </c:pt>
                <c:pt idx="5">
                  <c:v>295166.91000000009</c:v>
                </c:pt>
                <c:pt idx="6">
                  <c:v>223432.68999999994</c:v>
                </c:pt>
                <c:pt idx="7">
                  <c:v>272188.08</c:v>
                </c:pt>
                <c:pt idx="8">
                  <c:v>387405.90999999992</c:v>
                </c:pt>
                <c:pt idx="9">
                  <c:v>319887.82</c:v>
                </c:pt>
              </c:numCache>
            </c:numRef>
          </c:val>
          <c:extLst>
            <c:ext xmlns:c16="http://schemas.microsoft.com/office/drawing/2014/chart" uri="{C3380CC4-5D6E-409C-BE32-E72D297353CC}">
              <c16:uniqueId val="{00000000-AAE5-400B-9056-2F0C2D3FE00A}"/>
            </c:ext>
          </c:extLst>
        </c:ser>
        <c:dLbls>
          <c:dLblPos val="inEnd"/>
          <c:showLegendKey val="0"/>
          <c:showVal val="1"/>
          <c:showCatName val="0"/>
          <c:showSerName val="0"/>
          <c:showPercent val="0"/>
          <c:showBubbleSize val="0"/>
        </c:dLbls>
        <c:gapWidth val="150"/>
        <c:overlap val="100"/>
        <c:axId val="594777279"/>
        <c:axId val="592987039"/>
      </c:barChart>
      <c:catAx>
        <c:axId val="5947772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2987039"/>
        <c:crosses val="autoZero"/>
        <c:auto val="1"/>
        <c:lblAlgn val="ctr"/>
        <c:lblOffset val="100"/>
        <c:noMultiLvlLbl val="0"/>
      </c:catAx>
      <c:valAx>
        <c:axId val="592987039"/>
        <c:scaling>
          <c:orientation val="minMax"/>
        </c:scaling>
        <c:delete val="1"/>
        <c:axPos val="b"/>
        <c:numFmt formatCode="General" sourceLinked="1"/>
        <c:majorTickMark val="none"/>
        <c:minorTickMark val="none"/>
        <c:tickLblPos val="nextTo"/>
        <c:crossAx val="59477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158486</xdr:colOff>
      <xdr:row>2</xdr:row>
      <xdr:rowOff>74705</xdr:rowOff>
    </xdr:from>
    <xdr:to>
      <xdr:col>12</xdr:col>
      <xdr:colOff>252374</xdr:colOff>
      <xdr:row>21</xdr:row>
      <xdr:rowOff>85571</xdr:rowOff>
    </xdr:to>
    <xdr:graphicFrame macro="">
      <xdr:nvGraphicFramePr>
        <xdr:cNvPr id="2" name="Chart 1">
          <a:extLst>
            <a:ext uri="{FF2B5EF4-FFF2-40B4-BE49-F238E27FC236}">
              <a16:creationId xmlns:a16="http://schemas.microsoft.com/office/drawing/2014/main" id="{3C7E629B-2177-4304-968C-D2A9C0C18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299358</xdr:colOff>
      <xdr:row>2</xdr:row>
      <xdr:rowOff>72571</xdr:rowOff>
    </xdr:from>
    <xdr:to>
      <xdr:col>21</xdr:col>
      <xdr:colOff>381000</xdr:colOff>
      <xdr:row>21</xdr:row>
      <xdr:rowOff>99786</xdr:rowOff>
    </xdr:to>
    <xdr:graphicFrame macro="">
      <xdr:nvGraphicFramePr>
        <xdr:cNvPr id="3" name="Chart 2">
          <a:extLst>
            <a:ext uri="{FF2B5EF4-FFF2-40B4-BE49-F238E27FC236}">
              <a16:creationId xmlns:a16="http://schemas.microsoft.com/office/drawing/2014/main" id="{C2A88060-AF56-4390-943B-A95201201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298823</xdr:colOff>
      <xdr:row>21</xdr:row>
      <xdr:rowOff>177305</xdr:rowOff>
    </xdr:from>
    <xdr:to>
      <xdr:col>21</xdr:col>
      <xdr:colOff>392545</xdr:colOff>
      <xdr:row>38</xdr:row>
      <xdr:rowOff>74221</xdr:rowOff>
    </xdr:to>
    <xdr:graphicFrame macro="">
      <xdr:nvGraphicFramePr>
        <xdr:cNvPr id="4" name="Chart 3">
          <a:extLst>
            <a:ext uri="{FF2B5EF4-FFF2-40B4-BE49-F238E27FC236}">
              <a16:creationId xmlns:a16="http://schemas.microsoft.com/office/drawing/2014/main" id="{91A35C36-BC3F-40A1-86AA-EE60B56EF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135248</xdr:colOff>
      <xdr:row>21</xdr:row>
      <xdr:rowOff>168232</xdr:rowOff>
    </xdr:from>
    <xdr:to>
      <xdr:col>12</xdr:col>
      <xdr:colOff>242455</xdr:colOff>
      <xdr:row>38</xdr:row>
      <xdr:rowOff>56078</xdr:rowOff>
    </xdr:to>
    <xdr:graphicFrame macro="">
      <xdr:nvGraphicFramePr>
        <xdr:cNvPr id="5" name="Chart 4">
          <a:extLst>
            <a:ext uri="{FF2B5EF4-FFF2-40B4-BE49-F238E27FC236}">
              <a16:creationId xmlns:a16="http://schemas.microsoft.com/office/drawing/2014/main" id="{3FDAAE2C-1734-4BEC-A490-8E28E7AE4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103415</xdr:rowOff>
    </xdr:from>
    <xdr:to>
      <xdr:col>3</xdr:col>
      <xdr:colOff>5443</xdr:colOff>
      <xdr:row>14</xdr:row>
      <xdr:rowOff>45359</xdr:rowOff>
    </xdr:to>
    <mc:AlternateContent xmlns:mc="http://schemas.openxmlformats.org/markup-compatibility/2006" xmlns:a14="http://schemas.microsoft.com/office/drawing/2010/main">
      <mc:Choice Requires="a14">
        <xdr:graphicFrame macro="">
          <xdr:nvGraphicFramePr>
            <xdr:cNvPr id="9" name="Sales Person">
              <a:extLst>
                <a:ext uri="{FF2B5EF4-FFF2-40B4-BE49-F238E27FC236}">
                  <a16:creationId xmlns:a16="http://schemas.microsoft.com/office/drawing/2014/main" id="{1793E609-209A-4E87-BC30-E76346AC60E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0" y="484415"/>
              <a:ext cx="1841170" cy="2158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125186</xdr:rowOff>
    </xdr:from>
    <xdr:to>
      <xdr:col>3</xdr:col>
      <xdr:colOff>5443</xdr:colOff>
      <xdr:row>28</xdr:row>
      <xdr:rowOff>18143</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ED2035A0-0916-43B3-BB6B-8E4802E266D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2722913"/>
              <a:ext cx="1841170" cy="2479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57151</xdr:rowOff>
    </xdr:from>
    <xdr:to>
      <xdr:col>3</xdr:col>
      <xdr:colOff>5443</xdr:colOff>
      <xdr:row>38</xdr:row>
      <xdr:rowOff>117929</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4FC5874B-1B21-4CC2-8780-FD1A6EC137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5241060"/>
              <a:ext cx="1841170" cy="1908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333374</xdr:colOff>
      <xdr:row>1</xdr:row>
      <xdr:rowOff>38100</xdr:rowOff>
    </xdr:from>
    <xdr:to>
      <xdr:col>12</xdr:col>
      <xdr:colOff>311149</xdr:colOff>
      <xdr:row>19</xdr:row>
      <xdr:rowOff>19050</xdr:rowOff>
    </xdr:to>
    <xdr:graphicFrame macro="">
      <xdr:nvGraphicFramePr>
        <xdr:cNvPr id="2" name="Chart 1">
          <a:extLst>
            <a:ext uri="{FF2B5EF4-FFF2-40B4-BE49-F238E27FC236}">
              <a16:creationId xmlns:a16="http://schemas.microsoft.com/office/drawing/2014/main" id="{3DFB4AD5-5540-4DA0-AA2B-BB7DB4BE3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498474</xdr:colOff>
      <xdr:row>1</xdr:row>
      <xdr:rowOff>0</xdr:rowOff>
    </xdr:from>
    <xdr:to>
      <xdr:col>11</xdr:col>
      <xdr:colOff>165099</xdr:colOff>
      <xdr:row>15</xdr:row>
      <xdr:rowOff>165100</xdr:rowOff>
    </xdr:to>
    <xdr:graphicFrame macro="">
      <xdr:nvGraphicFramePr>
        <xdr:cNvPr id="2" name="Chart 1">
          <a:extLst>
            <a:ext uri="{FF2B5EF4-FFF2-40B4-BE49-F238E27FC236}">
              <a16:creationId xmlns:a16="http://schemas.microsoft.com/office/drawing/2014/main" id="{1605046A-621F-4096-8E3E-D175707C2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180974</xdr:colOff>
      <xdr:row>1</xdr:row>
      <xdr:rowOff>19050</xdr:rowOff>
    </xdr:from>
    <xdr:to>
      <xdr:col>11</xdr:col>
      <xdr:colOff>120649</xdr:colOff>
      <xdr:row>16</xdr:row>
      <xdr:rowOff>0</xdr:rowOff>
    </xdr:to>
    <xdr:graphicFrame macro="">
      <xdr:nvGraphicFramePr>
        <xdr:cNvPr id="2" name="Chart 1">
          <a:extLst>
            <a:ext uri="{FF2B5EF4-FFF2-40B4-BE49-F238E27FC236}">
              <a16:creationId xmlns:a16="http://schemas.microsoft.com/office/drawing/2014/main" id="{F7C17C29-95F8-4315-A89A-56135C87D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111125</xdr:colOff>
      <xdr:row>1</xdr:row>
      <xdr:rowOff>63500</xdr:rowOff>
    </xdr:from>
    <xdr:to>
      <xdr:col>10</xdr:col>
      <xdr:colOff>415925</xdr:colOff>
      <xdr:row>16</xdr:row>
      <xdr:rowOff>44450</xdr:rowOff>
    </xdr:to>
    <xdr:graphicFrame macro="">
      <xdr:nvGraphicFramePr>
        <xdr:cNvPr id="2" name="Chart 1">
          <a:extLst>
            <a:ext uri="{FF2B5EF4-FFF2-40B4-BE49-F238E27FC236}">
              <a16:creationId xmlns:a16="http://schemas.microsoft.com/office/drawing/2014/main" id="{79305EE5-A85F-45F7-9B74-F8730E7EE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smetics_sales_data.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0.378951273146" createdVersion="6" refreshedVersion="6" minRefreshableVersion="3" recordCount="374" xr:uid="{00000000-000A-0000-FFFF-FFFF08000000}">
  <cacheSource type="worksheet">
    <worksheetSource ref="A1:G375" sheet="cosmetics_sales_data" r:id="rId2"/>
  </cacheSource>
  <cacheFields count="7">
    <cacheField name="Sales Person" numFmtId="0">
      <sharedItems count="10">
        <s v="Lucas Verma"/>
        <s v="Ethan Reddy"/>
        <s v="Ananya Gupta"/>
        <s v="Sophia Nair"/>
        <s v="Isabella Roy"/>
        <s v="Noah Mehta"/>
        <s v="Olivia D'Souza"/>
        <s v="Ava Sharma"/>
        <s v="Liam Patel"/>
        <s v="Mason Kapoor"/>
      </sharedItems>
    </cacheField>
    <cacheField name="Country" numFmtId="0">
      <sharedItems count="6">
        <s v="Canada"/>
        <s v="UK"/>
        <s v="India"/>
        <s v="New Zealand"/>
        <s v="Australia"/>
        <s v="USA"/>
      </sharedItems>
    </cacheField>
    <cacheField name="Product" numFmtId="0">
      <sharedItems count="15">
        <s v="Aloe Vera Gel"/>
        <s v="Body Butter Cream"/>
        <s v="Salicylic Acid Cleanser"/>
        <s v="Lip Balm Pack"/>
        <s v="Rose Water Toner"/>
        <s v="Tea Tree Moisturizer"/>
        <s v="Face Sheet Masks"/>
        <s v="Hair Repair Oil"/>
        <s v="Vitamin C Cream"/>
        <s v="Niacinamide Toner"/>
        <s v="Under Eye Cream"/>
        <s v="Hydrating Face Serum"/>
        <s v="Charcoal Face Wash"/>
        <s v="Anti-Aging Serum"/>
        <s v="SPF 50 Sunscreen"/>
      </sharedItems>
    </cacheField>
    <cacheField name="Date" numFmtId="14">
      <sharedItems containsSemiMixedTypes="0" containsNonDate="0" containsDate="1" containsString="0" minDate="2022-01-01T00:00:00" maxDate="2022-08-31T00:00:00"/>
    </cacheField>
    <cacheField name="Month" numFmtId="14">
      <sharedItems count="8">
        <s v="Apr"/>
        <s v="Jan"/>
        <s v="Aug"/>
        <s v="May"/>
        <s v="Jul"/>
        <s v="Feb"/>
        <s v="Jun"/>
        <s v="Mar"/>
      </sharedItems>
    </cacheField>
    <cacheField name="Amount ($)" numFmtId="0">
      <sharedItems containsSemiMixedTypes="0" containsString="0" containsNumber="1" minValue="119.82" maxValue="23977.48"/>
    </cacheField>
    <cacheField name="Boxes Shipped" numFmtId="0">
      <sharedItems containsSemiMixedTypes="0" containsString="0" containsNumber="1" containsInteger="1" minValue="10" maxValue="499"/>
    </cacheField>
  </cacheFields>
  <extLst>
    <ext xmlns:x14="http://schemas.microsoft.com/office/spreadsheetml/2009/9/main" uri="{725AE2AE-9491-48be-B2B4-4EB974FC3084}">
      <x14:pivotCacheDefinition pivotCacheId="894024466"/>
    </ext>
  </extLst>
</pivotCacheDefinition>
</file>

<file path=xl/pivotCache/pivotCacheRecords1.xml><?xml version="1.0" encoding="utf-8"?>
<pivotCacheRecords xmlns="http://schemas.openxmlformats.org/spreadsheetml/2006/main" xmlns:r="http://schemas.openxmlformats.org/officeDocument/2006/relationships" count="374">
  <r>
    <x v="0"/>
    <x v="0"/>
    <x v="0"/>
    <d v="2022-04-30T00:00:00"/>
    <x v="0"/>
    <n v="7897.13"/>
    <n v="358"/>
  </r>
  <r>
    <x v="1"/>
    <x v="1"/>
    <x v="0"/>
    <d v="2022-01-25T00:00:00"/>
    <x v="1"/>
    <n v="16376.88"/>
    <n v="449"/>
  </r>
  <r>
    <x v="2"/>
    <x v="2"/>
    <x v="1"/>
    <d v="2022-08-22T00:00:00"/>
    <x v="2"/>
    <n v="5599.68"/>
    <n v="264"/>
  </r>
  <r>
    <x v="2"/>
    <x v="3"/>
    <x v="2"/>
    <d v="2022-08-26T00:00:00"/>
    <x v="2"/>
    <n v="2966.47"/>
    <n v="144"/>
  </r>
  <r>
    <x v="3"/>
    <x v="1"/>
    <x v="1"/>
    <d v="2022-05-19T00:00:00"/>
    <x v="3"/>
    <n v="6828.68"/>
    <n v="484"/>
  </r>
  <r>
    <x v="2"/>
    <x v="1"/>
    <x v="3"/>
    <d v="2022-08-27T00:00:00"/>
    <x v="2"/>
    <n v="2555.9499999999998"/>
    <n v="192"/>
  </r>
  <r>
    <x v="2"/>
    <x v="3"/>
    <x v="4"/>
    <d v="2022-04-29T00:00:00"/>
    <x v="0"/>
    <n v="832.92"/>
    <n v="19"/>
  </r>
  <r>
    <x v="3"/>
    <x v="3"/>
    <x v="5"/>
    <d v="2022-07-15T00:00:00"/>
    <x v="4"/>
    <n v="997.96"/>
    <n v="36"/>
  </r>
  <r>
    <x v="4"/>
    <x v="3"/>
    <x v="3"/>
    <d v="2022-02-04T00:00:00"/>
    <x v="5"/>
    <n v="7754.36"/>
    <n v="466"/>
  </r>
  <r>
    <x v="5"/>
    <x v="2"/>
    <x v="0"/>
    <d v="2022-05-16T00:00:00"/>
    <x v="3"/>
    <n v="5507.19"/>
    <n v="176"/>
  </r>
  <r>
    <x v="6"/>
    <x v="4"/>
    <x v="1"/>
    <d v="2022-01-27T00:00:00"/>
    <x v="1"/>
    <n v="1119.6600000000001"/>
    <n v="87"/>
  </r>
  <r>
    <x v="3"/>
    <x v="5"/>
    <x v="6"/>
    <d v="2022-06-02T00:00:00"/>
    <x v="6"/>
    <n v="6853.59"/>
    <n v="384"/>
  </r>
  <r>
    <x v="7"/>
    <x v="5"/>
    <x v="7"/>
    <d v="2022-04-06T00:00:00"/>
    <x v="0"/>
    <n v="12147.98"/>
    <n v="254"/>
  </r>
  <r>
    <x v="0"/>
    <x v="3"/>
    <x v="0"/>
    <d v="2022-07-26T00:00:00"/>
    <x v="4"/>
    <n v="923.46"/>
    <n v="79"/>
  </r>
  <r>
    <x v="7"/>
    <x v="0"/>
    <x v="2"/>
    <d v="2022-01-10T00:00:00"/>
    <x v="1"/>
    <n v="442.07"/>
    <n v="24"/>
  </r>
  <r>
    <x v="8"/>
    <x v="0"/>
    <x v="0"/>
    <d v="2022-01-04T00:00:00"/>
    <x v="1"/>
    <n v="3900.37"/>
    <n v="83"/>
  </r>
  <r>
    <x v="7"/>
    <x v="3"/>
    <x v="1"/>
    <d v="2022-06-02T00:00:00"/>
    <x v="6"/>
    <n v="801.63"/>
    <n v="25"/>
  </r>
  <r>
    <x v="4"/>
    <x v="2"/>
    <x v="0"/>
    <d v="2022-03-03T00:00:00"/>
    <x v="7"/>
    <n v="10101.780000000001"/>
    <n v="251"/>
  </r>
  <r>
    <x v="3"/>
    <x v="0"/>
    <x v="8"/>
    <d v="2022-05-29T00:00:00"/>
    <x v="3"/>
    <n v="6600.15"/>
    <n v="417"/>
  </r>
  <r>
    <x v="0"/>
    <x v="5"/>
    <x v="9"/>
    <d v="2022-05-28T00:00:00"/>
    <x v="3"/>
    <n v="5302.98"/>
    <n v="258"/>
  </r>
  <r>
    <x v="5"/>
    <x v="1"/>
    <x v="10"/>
    <d v="2022-08-02T00:00:00"/>
    <x v="2"/>
    <n v="6310.09"/>
    <n v="257"/>
  </r>
  <r>
    <x v="5"/>
    <x v="0"/>
    <x v="11"/>
    <d v="2022-07-17T00:00:00"/>
    <x v="4"/>
    <n v="2369.1799999999998"/>
    <n v="211"/>
  </r>
  <r>
    <x v="3"/>
    <x v="1"/>
    <x v="0"/>
    <d v="2022-05-14T00:00:00"/>
    <x v="3"/>
    <n v="16418.97"/>
    <n v="358"/>
  </r>
  <r>
    <x v="6"/>
    <x v="3"/>
    <x v="8"/>
    <d v="2022-01-15T00:00:00"/>
    <x v="1"/>
    <n v="10774.83"/>
    <n v="226"/>
  </r>
  <r>
    <x v="3"/>
    <x v="4"/>
    <x v="9"/>
    <d v="2022-04-13T00:00:00"/>
    <x v="0"/>
    <n v="5958.48"/>
    <n v="162"/>
  </r>
  <r>
    <x v="6"/>
    <x v="5"/>
    <x v="5"/>
    <d v="2022-07-22T00:00:00"/>
    <x v="4"/>
    <n v="1194.96"/>
    <n v="74"/>
  </r>
  <r>
    <x v="4"/>
    <x v="4"/>
    <x v="12"/>
    <d v="2022-04-11T00:00:00"/>
    <x v="0"/>
    <n v="314.68"/>
    <n v="18"/>
  </r>
  <r>
    <x v="9"/>
    <x v="4"/>
    <x v="13"/>
    <d v="2022-06-18T00:00:00"/>
    <x v="6"/>
    <n v="1442.65"/>
    <n v="91"/>
  </r>
  <r>
    <x v="8"/>
    <x v="5"/>
    <x v="10"/>
    <d v="2022-06-12T00:00:00"/>
    <x v="6"/>
    <n v="2810.34"/>
    <n v="78"/>
  </r>
  <r>
    <x v="9"/>
    <x v="1"/>
    <x v="10"/>
    <d v="2022-01-13T00:00:00"/>
    <x v="1"/>
    <n v="1394.62"/>
    <n v="57"/>
  </r>
  <r>
    <x v="8"/>
    <x v="4"/>
    <x v="9"/>
    <d v="2022-04-02T00:00:00"/>
    <x v="0"/>
    <n v="8143.6"/>
    <n v="213"/>
  </r>
  <r>
    <x v="9"/>
    <x v="1"/>
    <x v="1"/>
    <d v="2022-07-10T00:00:00"/>
    <x v="4"/>
    <n v="12885.94"/>
    <n v="340"/>
  </r>
  <r>
    <x v="8"/>
    <x v="0"/>
    <x v="3"/>
    <d v="2022-08-03T00:00:00"/>
    <x v="2"/>
    <n v="16223.13"/>
    <n v="362"/>
  </r>
  <r>
    <x v="5"/>
    <x v="1"/>
    <x v="6"/>
    <d v="2022-03-18T00:00:00"/>
    <x v="7"/>
    <n v="8330.4699999999993"/>
    <n v="217"/>
  </r>
  <r>
    <x v="9"/>
    <x v="3"/>
    <x v="4"/>
    <d v="2022-06-19T00:00:00"/>
    <x v="6"/>
    <n v="5384.2"/>
    <n v="290"/>
  </r>
  <r>
    <x v="7"/>
    <x v="2"/>
    <x v="11"/>
    <d v="2022-03-07T00:00:00"/>
    <x v="7"/>
    <n v="19594.27"/>
    <n v="450"/>
  </r>
  <r>
    <x v="7"/>
    <x v="3"/>
    <x v="8"/>
    <d v="2022-05-27T00:00:00"/>
    <x v="3"/>
    <n v="12213.24"/>
    <n v="266"/>
  </r>
  <r>
    <x v="0"/>
    <x v="1"/>
    <x v="11"/>
    <d v="2022-05-11T00:00:00"/>
    <x v="3"/>
    <n v="4242.5600000000004"/>
    <n v="357"/>
  </r>
  <r>
    <x v="9"/>
    <x v="4"/>
    <x v="6"/>
    <d v="2022-03-20T00:00:00"/>
    <x v="7"/>
    <n v="13379.16"/>
    <n v="498"/>
  </r>
  <r>
    <x v="0"/>
    <x v="4"/>
    <x v="5"/>
    <d v="2022-03-25T00:00:00"/>
    <x v="7"/>
    <n v="9353.99"/>
    <n v="246"/>
  </r>
  <r>
    <x v="2"/>
    <x v="3"/>
    <x v="8"/>
    <d v="2022-08-26T00:00:00"/>
    <x v="2"/>
    <n v="5032.7299999999996"/>
    <n v="147"/>
  </r>
  <r>
    <x v="9"/>
    <x v="1"/>
    <x v="3"/>
    <d v="2022-01-09T00:00:00"/>
    <x v="1"/>
    <n v="3041.08"/>
    <n v="103"/>
  </r>
  <r>
    <x v="2"/>
    <x v="0"/>
    <x v="7"/>
    <d v="2022-03-25T00:00:00"/>
    <x v="7"/>
    <n v="3258.73"/>
    <n v="150"/>
  </r>
  <r>
    <x v="8"/>
    <x v="5"/>
    <x v="13"/>
    <d v="2022-05-17T00:00:00"/>
    <x v="3"/>
    <n v="10452.26"/>
    <n v="242"/>
  </r>
  <r>
    <x v="1"/>
    <x v="5"/>
    <x v="11"/>
    <d v="2022-05-29T00:00:00"/>
    <x v="3"/>
    <n v="8642.86"/>
    <n v="298"/>
  </r>
  <r>
    <x v="2"/>
    <x v="2"/>
    <x v="4"/>
    <d v="2022-03-31T00:00:00"/>
    <x v="7"/>
    <n v="2523.86"/>
    <n v="102"/>
  </r>
  <r>
    <x v="1"/>
    <x v="0"/>
    <x v="12"/>
    <d v="2022-05-07T00:00:00"/>
    <x v="3"/>
    <n v="11599.9"/>
    <n v="324"/>
  </r>
  <r>
    <x v="8"/>
    <x v="3"/>
    <x v="14"/>
    <d v="2022-05-27T00:00:00"/>
    <x v="3"/>
    <n v="15606.61"/>
    <n v="331"/>
  </r>
  <r>
    <x v="9"/>
    <x v="3"/>
    <x v="3"/>
    <d v="2022-07-13T00:00:00"/>
    <x v="4"/>
    <n v="9583.51"/>
    <n v="312"/>
  </r>
  <r>
    <x v="5"/>
    <x v="3"/>
    <x v="5"/>
    <d v="2022-08-13T00:00:00"/>
    <x v="2"/>
    <n v="10192.85"/>
    <n v="373"/>
  </r>
  <r>
    <x v="6"/>
    <x v="5"/>
    <x v="11"/>
    <d v="2022-05-02T00:00:00"/>
    <x v="3"/>
    <n v="21701.439999999999"/>
    <n v="483"/>
  </r>
  <r>
    <x v="3"/>
    <x v="2"/>
    <x v="7"/>
    <d v="2022-08-28T00:00:00"/>
    <x v="2"/>
    <n v="6496.58"/>
    <n v="366"/>
  </r>
  <r>
    <x v="2"/>
    <x v="3"/>
    <x v="1"/>
    <d v="2022-02-02T00:00:00"/>
    <x v="5"/>
    <n v="16383.31"/>
    <n v="438"/>
  </r>
  <r>
    <x v="9"/>
    <x v="3"/>
    <x v="1"/>
    <d v="2022-06-03T00:00:00"/>
    <x v="6"/>
    <n v="15834.45"/>
    <n v="361"/>
  </r>
  <r>
    <x v="5"/>
    <x v="1"/>
    <x v="3"/>
    <d v="2022-05-17T00:00:00"/>
    <x v="3"/>
    <n v="7501.02"/>
    <n v="489"/>
  </r>
  <r>
    <x v="5"/>
    <x v="1"/>
    <x v="11"/>
    <d v="2022-06-24T00:00:00"/>
    <x v="6"/>
    <n v="922.43"/>
    <n v="29"/>
  </r>
  <r>
    <x v="2"/>
    <x v="2"/>
    <x v="2"/>
    <d v="2022-04-28T00:00:00"/>
    <x v="0"/>
    <n v="6141.45"/>
    <n v="213"/>
  </r>
  <r>
    <x v="5"/>
    <x v="3"/>
    <x v="4"/>
    <d v="2022-03-23T00:00:00"/>
    <x v="7"/>
    <n v="1745.79"/>
    <n v="156"/>
  </r>
  <r>
    <x v="8"/>
    <x v="3"/>
    <x v="12"/>
    <d v="2022-03-25T00:00:00"/>
    <x v="7"/>
    <n v="7268.2"/>
    <n v="198"/>
  </r>
  <r>
    <x v="3"/>
    <x v="1"/>
    <x v="14"/>
    <d v="2022-04-25T00:00:00"/>
    <x v="0"/>
    <n v="424.38"/>
    <n v="30"/>
  </r>
  <r>
    <x v="5"/>
    <x v="3"/>
    <x v="1"/>
    <d v="2022-04-08T00:00:00"/>
    <x v="0"/>
    <n v="10711.79"/>
    <n v="331"/>
  </r>
  <r>
    <x v="5"/>
    <x v="5"/>
    <x v="8"/>
    <d v="2022-03-23T00:00:00"/>
    <x v="7"/>
    <n v="8154.9"/>
    <n v="248"/>
  </r>
  <r>
    <x v="7"/>
    <x v="3"/>
    <x v="5"/>
    <d v="2022-07-25T00:00:00"/>
    <x v="4"/>
    <n v="5132.41"/>
    <n v="454"/>
  </r>
  <r>
    <x v="4"/>
    <x v="2"/>
    <x v="8"/>
    <d v="2022-03-21T00:00:00"/>
    <x v="7"/>
    <n v="6538.2"/>
    <n v="264"/>
  </r>
  <r>
    <x v="1"/>
    <x v="5"/>
    <x v="4"/>
    <d v="2022-07-11T00:00:00"/>
    <x v="4"/>
    <n v="13625.75"/>
    <n v="406"/>
  </r>
  <r>
    <x v="4"/>
    <x v="4"/>
    <x v="14"/>
    <d v="2022-06-18T00:00:00"/>
    <x v="6"/>
    <n v="3344.35"/>
    <n v="244"/>
  </r>
  <r>
    <x v="3"/>
    <x v="2"/>
    <x v="0"/>
    <d v="2022-03-02T00:00:00"/>
    <x v="7"/>
    <n v="11456.29"/>
    <n v="325"/>
  </r>
  <r>
    <x v="7"/>
    <x v="2"/>
    <x v="7"/>
    <d v="2022-04-19T00:00:00"/>
    <x v="0"/>
    <n v="8946.01"/>
    <n v="434"/>
  </r>
  <r>
    <x v="2"/>
    <x v="4"/>
    <x v="7"/>
    <d v="2022-01-16T00:00:00"/>
    <x v="1"/>
    <n v="15120.74"/>
    <n v="360"/>
  </r>
  <r>
    <x v="1"/>
    <x v="0"/>
    <x v="10"/>
    <d v="2022-04-01T00:00:00"/>
    <x v="0"/>
    <n v="9372.51"/>
    <n v="274"/>
  </r>
  <r>
    <x v="2"/>
    <x v="1"/>
    <x v="11"/>
    <d v="2022-05-22T00:00:00"/>
    <x v="3"/>
    <n v="4531.42"/>
    <n v="107"/>
  </r>
  <r>
    <x v="5"/>
    <x v="5"/>
    <x v="0"/>
    <d v="2022-01-13T00:00:00"/>
    <x v="1"/>
    <n v="16283.5"/>
    <n v="456"/>
  </r>
  <r>
    <x v="7"/>
    <x v="0"/>
    <x v="5"/>
    <d v="2022-01-24T00:00:00"/>
    <x v="1"/>
    <n v="10108.84"/>
    <n v="402"/>
  </r>
  <r>
    <x v="5"/>
    <x v="1"/>
    <x v="1"/>
    <d v="2022-08-12T00:00:00"/>
    <x v="2"/>
    <n v="3801.03"/>
    <n v="202"/>
  </r>
  <r>
    <x v="8"/>
    <x v="5"/>
    <x v="13"/>
    <d v="2022-07-08T00:00:00"/>
    <x v="4"/>
    <n v="1308.08"/>
    <n v="51"/>
  </r>
  <r>
    <x v="5"/>
    <x v="0"/>
    <x v="6"/>
    <d v="2022-07-09T00:00:00"/>
    <x v="4"/>
    <n v="13195"/>
    <n v="285"/>
  </r>
  <r>
    <x v="4"/>
    <x v="4"/>
    <x v="9"/>
    <d v="2022-04-25T00:00:00"/>
    <x v="0"/>
    <n v="5223.33"/>
    <n v="152"/>
  </r>
  <r>
    <x v="6"/>
    <x v="0"/>
    <x v="2"/>
    <d v="2022-08-30T00:00:00"/>
    <x v="2"/>
    <n v="6102.47"/>
    <n v="146"/>
  </r>
  <r>
    <x v="5"/>
    <x v="4"/>
    <x v="11"/>
    <d v="2022-06-29T00:00:00"/>
    <x v="6"/>
    <n v="8416.43"/>
    <n v="237"/>
  </r>
  <r>
    <x v="4"/>
    <x v="0"/>
    <x v="10"/>
    <d v="2022-05-22T00:00:00"/>
    <x v="3"/>
    <n v="8215.8700000000008"/>
    <n v="334"/>
  </r>
  <r>
    <x v="3"/>
    <x v="0"/>
    <x v="14"/>
    <d v="2022-03-29T00:00:00"/>
    <x v="7"/>
    <n v="6936.38"/>
    <n v="322"/>
  </r>
  <r>
    <x v="6"/>
    <x v="3"/>
    <x v="10"/>
    <d v="2022-03-04T00:00:00"/>
    <x v="7"/>
    <n v="2422.62"/>
    <n v="180"/>
  </r>
  <r>
    <x v="0"/>
    <x v="5"/>
    <x v="13"/>
    <d v="2022-01-13T00:00:00"/>
    <x v="1"/>
    <n v="17090.34"/>
    <n v="366"/>
  </r>
  <r>
    <x v="7"/>
    <x v="0"/>
    <x v="11"/>
    <d v="2022-02-23T00:00:00"/>
    <x v="5"/>
    <n v="10497.39"/>
    <n v="324"/>
  </r>
  <r>
    <x v="3"/>
    <x v="1"/>
    <x v="10"/>
    <d v="2022-08-29T00:00:00"/>
    <x v="2"/>
    <n v="569.78"/>
    <n v="14"/>
  </r>
  <r>
    <x v="6"/>
    <x v="1"/>
    <x v="11"/>
    <d v="2022-03-15T00:00:00"/>
    <x v="7"/>
    <n v="4103.17"/>
    <n v="124"/>
  </r>
  <r>
    <x v="4"/>
    <x v="4"/>
    <x v="14"/>
    <d v="2022-08-26T00:00:00"/>
    <x v="2"/>
    <n v="891.11"/>
    <n v="73"/>
  </r>
  <r>
    <x v="4"/>
    <x v="1"/>
    <x v="11"/>
    <d v="2022-01-18T00:00:00"/>
    <x v="1"/>
    <n v="14127.27"/>
    <n v="465"/>
  </r>
  <r>
    <x v="6"/>
    <x v="5"/>
    <x v="0"/>
    <d v="2022-03-25T00:00:00"/>
    <x v="7"/>
    <n v="5150.2700000000004"/>
    <n v="218"/>
  </r>
  <r>
    <x v="5"/>
    <x v="5"/>
    <x v="6"/>
    <d v="2022-03-08T00:00:00"/>
    <x v="7"/>
    <n v="146.69999999999999"/>
    <n v="13"/>
  </r>
  <r>
    <x v="3"/>
    <x v="3"/>
    <x v="7"/>
    <d v="2022-02-17T00:00:00"/>
    <x v="5"/>
    <n v="3812.92"/>
    <n v="118"/>
  </r>
  <r>
    <x v="9"/>
    <x v="5"/>
    <x v="9"/>
    <d v="2022-07-23T00:00:00"/>
    <x v="4"/>
    <n v="9450.0400000000009"/>
    <n v="218"/>
  </r>
  <r>
    <x v="5"/>
    <x v="1"/>
    <x v="6"/>
    <d v="2022-02-14T00:00:00"/>
    <x v="5"/>
    <n v="6457.54"/>
    <n v="293"/>
  </r>
  <r>
    <x v="6"/>
    <x v="1"/>
    <x v="10"/>
    <d v="2022-02-19T00:00:00"/>
    <x v="5"/>
    <n v="7925.54"/>
    <n v="309"/>
  </r>
  <r>
    <x v="0"/>
    <x v="5"/>
    <x v="5"/>
    <d v="2022-04-13T00:00:00"/>
    <x v="0"/>
    <n v="16861.45"/>
    <n v="385"/>
  </r>
  <r>
    <x v="0"/>
    <x v="3"/>
    <x v="2"/>
    <d v="2022-08-17T00:00:00"/>
    <x v="2"/>
    <n v="1650.87"/>
    <n v="72"/>
  </r>
  <r>
    <x v="2"/>
    <x v="4"/>
    <x v="7"/>
    <d v="2022-07-15T00:00:00"/>
    <x v="4"/>
    <n v="19861.82"/>
    <n v="424"/>
  </r>
  <r>
    <x v="4"/>
    <x v="0"/>
    <x v="1"/>
    <d v="2022-06-08T00:00:00"/>
    <x v="6"/>
    <n v="10647.12"/>
    <n v="234"/>
  </r>
  <r>
    <x v="6"/>
    <x v="4"/>
    <x v="14"/>
    <d v="2022-06-03T00:00:00"/>
    <x v="6"/>
    <n v="1564.91"/>
    <n v="49"/>
  </r>
  <r>
    <x v="8"/>
    <x v="2"/>
    <x v="5"/>
    <d v="2022-01-10T00:00:00"/>
    <x v="1"/>
    <n v="2126.3000000000002"/>
    <n v="89"/>
  </r>
  <r>
    <x v="8"/>
    <x v="2"/>
    <x v="9"/>
    <d v="2022-04-09T00:00:00"/>
    <x v="0"/>
    <n v="2893.74"/>
    <n v="204"/>
  </r>
  <r>
    <x v="4"/>
    <x v="4"/>
    <x v="5"/>
    <d v="2022-04-17T00:00:00"/>
    <x v="0"/>
    <n v="13434.96"/>
    <n v="283"/>
  </r>
  <r>
    <x v="1"/>
    <x v="2"/>
    <x v="3"/>
    <d v="2022-07-05T00:00:00"/>
    <x v="4"/>
    <n v="8273.51"/>
    <n v="169"/>
  </r>
  <r>
    <x v="5"/>
    <x v="1"/>
    <x v="12"/>
    <d v="2022-04-07T00:00:00"/>
    <x v="0"/>
    <n v="4063.64"/>
    <n v="149"/>
  </r>
  <r>
    <x v="6"/>
    <x v="1"/>
    <x v="0"/>
    <d v="2022-08-06T00:00:00"/>
    <x v="2"/>
    <n v="6650.47"/>
    <n v="471"/>
  </r>
  <r>
    <x v="8"/>
    <x v="5"/>
    <x v="11"/>
    <d v="2022-02-08T00:00:00"/>
    <x v="5"/>
    <n v="4463.32"/>
    <n v="295"/>
  </r>
  <r>
    <x v="7"/>
    <x v="5"/>
    <x v="14"/>
    <d v="2022-03-10T00:00:00"/>
    <x v="7"/>
    <n v="16996.07"/>
    <n v="471"/>
  </r>
  <r>
    <x v="6"/>
    <x v="1"/>
    <x v="5"/>
    <d v="2022-08-30T00:00:00"/>
    <x v="2"/>
    <n v="4768.41"/>
    <n v="183"/>
  </r>
  <r>
    <x v="4"/>
    <x v="4"/>
    <x v="6"/>
    <d v="2022-03-30T00:00:00"/>
    <x v="7"/>
    <n v="18046.13"/>
    <n v="401"/>
  </r>
  <r>
    <x v="9"/>
    <x v="5"/>
    <x v="0"/>
    <d v="2022-05-18T00:00:00"/>
    <x v="3"/>
    <n v="868.92"/>
    <n v="46"/>
  </r>
  <r>
    <x v="8"/>
    <x v="4"/>
    <x v="12"/>
    <d v="2022-01-26T00:00:00"/>
    <x v="1"/>
    <n v="4759.75"/>
    <n v="96"/>
  </r>
  <r>
    <x v="4"/>
    <x v="5"/>
    <x v="4"/>
    <d v="2022-03-22T00:00:00"/>
    <x v="7"/>
    <n v="19576.41"/>
    <n v="402"/>
  </r>
  <r>
    <x v="3"/>
    <x v="5"/>
    <x v="3"/>
    <d v="2022-06-20T00:00:00"/>
    <x v="6"/>
    <n v="4824.9399999999996"/>
    <n v="235"/>
  </r>
  <r>
    <x v="4"/>
    <x v="0"/>
    <x v="7"/>
    <d v="2022-05-19T00:00:00"/>
    <x v="3"/>
    <n v="5555.52"/>
    <n v="150"/>
  </r>
  <r>
    <x v="0"/>
    <x v="5"/>
    <x v="0"/>
    <d v="2022-01-28T00:00:00"/>
    <x v="1"/>
    <n v="6004.2"/>
    <n v="126"/>
  </r>
  <r>
    <x v="3"/>
    <x v="5"/>
    <x v="14"/>
    <d v="2022-04-06T00:00:00"/>
    <x v="0"/>
    <n v="12369.81"/>
    <n v="456"/>
  </r>
  <r>
    <x v="5"/>
    <x v="1"/>
    <x v="3"/>
    <d v="2022-05-23T00:00:00"/>
    <x v="3"/>
    <n v="861.89"/>
    <n v="29"/>
  </r>
  <r>
    <x v="7"/>
    <x v="4"/>
    <x v="8"/>
    <d v="2022-03-11T00:00:00"/>
    <x v="7"/>
    <n v="6048.32"/>
    <n v="360"/>
  </r>
  <r>
    <x v="3"/>
    <x v="2"/>
    <x v="1"/>
    <d v="2022-06-02T00:00:00"/>
    <x v="6"/>
    <n v="15051.5"/>
    <n v="418"/>
  </r>
  <r>
    <x v="9"/>
    <x v="1"/>
    <x v="10"/>
    <d v="2022-05-18T00:00:00"/>
    <x v="3"/>
    <n v="756.72"/>
    <n v="24"/>
  </r>
  <r>
    <x v="4"/>
    <x v="0"/>
    <x v="2"/>
    <d v="2022-06-22T00:00:00"/>
    <x v="6"/>
    <n v="534.64"/>
    <n v="22"/>
  </r>
  <r>
    <x v="7"/>
    <x v="0"/>
    <x v="0"/>
    <d v="2022-04-11T00:00:00"/>
    <x v="0"/>
    <n v="12424.63"/>
    <n v="360"/>
  </r>
  <r>
    <x v="8"/>
    <x v="2"/>
    <x v="6"/>
    <d v="2022-05-18T00:00:00"/>
    <x v="3"/>
    <n v="15136.25"/>
    <n v="354"/>
  </r>
  <r>
    <x v="8"/>
    <x v="1"/>
    <x v="6"/>
    <d v="2022-03-28T00:00:00"/>
    <x v="7"/>
    <n v="580.35"/>
    <n v="31"/>
  </r>
  <r>
    <x v="2"/>
    <x v="2"/>
    <x v="12"/>
    <d v="2022-08-30T00:00:00"/>
    <x v="2"/>
    <n v="5804.87"/>
    <n v="119"/>
  </r>
  <r>
    <x v="5"/>
    <x v="3"/>
    <x v="6"/>
    <d v="2022-01-30T00:00:00"/>
    <x v="1"/>
    <n v="23152.04"/>
    <n v="487"/>
  </r>
  <r>
    <x v="9"/>
    <x v="0"/>
    <x v="14"/>
    <d v="2022-08-19T00:00:00"/>
    <x v="2"/>
    <n v="6174.38"/>
    <n v="232"/>
  </r>
  <r>
    <x v="0"/>
    <x v="2"/>
    <x v="5"/>
    <d v="2022-07-07T00:00:00"/>
    <x v="4"/>
    <n v="16619.54"/>
    <n v="425"/>
  </r>
  <r>
    <x v="0"/>
    <x v="3"/>
    <x v="6"/>
    <d v="2022-06-10T00:00:00"/>
    <x v="6"/>
    <n v="3214.37"/>
    <n v="161"/>
  </r>
  <r>
    <x v="9"/>
    <x v="4"/>
    <x v="8"/>
    <d v="2022-08-13T00:00:00"/>
    <x v="2"/>
    <n v="16037.03"/>
    <n v="475"/>
  </r>
  <r>
    <x v="0"/>
    <x v="5"/>
    <x v="12"/>
    <d v="2022-03-30T00:00:00"/>
    <x v="7"/>
    <n v="6455.88"/>
    <n v="299"/>
  </r>
  <r>
    <x v="4"/>
    <x v="3"/>
    <x v="14"/>
    <d v="2022-03-15T00:00:00"/>
    <x v="7"/>
    <n v="20659.54"/>
    <n v="478"/>
  </r>
  <r>
    <x v="6"/>
    <x v="0"/>
    <x v="10"/>
    <d v="2022-04-19T00:00:00"/>
    <x v="0"/>
    <n v="19030.11"/>
    <n v="434"/>
  </r>
  <r>
    <x v="5"/>
    <x v="2"/>
    <x v="7"/>
    <d v="2022-05-07T00:00:00"/>
    <x v="3"/>
    <n v="5042.6099999999997"/>
    <n v="140"/>
  </r>
  <r>
    <x v="3"/>
    <x v="1"/>
    <x v="14"/>
    <d v="2022-02-11T00:00:00"/>
    <x v="5"/>
    <n v="15274.46"/>
    <n v="350"/>
  </r>
  <r>
    <x v="9"/>
    <x v="5"/>
    <x v="12"/>
    <d v="2022-03-16T00:00:00"/>
    <x v="7"/>
    <n v="13934.58"/>
    <n v="498"/>
  </r>
  <r>
    <x v="0"/>
    <x v="4"/>
    <x v="14"/>
    <d v="2022-08-13T00:00:00"/>
    <x v="2"/>
    <n v="858.68"/>
    <n v="73"/>
  </r>
  <r>
    <x v="2"/>
    <x v="2"/>
    <x v="7"/>
    <d v="2022-05-01T00:00:00"/>
    <x v="3"/>
    <n v="10382.299999999999"/>
    <n v="390"/>
  </r>
  <r>
    <x v="6"/>
    <x v="5"/>
    <x v="7"/>
    <d v="2022-01-27T00:00:00"/>
    <x v="1"/>
    <n v="7825.06"/>
    <n v="499"/>
  </r>
  <r>
    <x v="9"/>
    <x v="0"/>
    <x v="13"/>
    <d v="2022-05-19T00:00:00"/>
    <x v="3"/>
    <n v="329"/>
    <n v="16"/>
  </r>
  <r>
    <x v="4"/>
    <x v="4"/>
    <x v="4"/>
    <d v="2022-07-04T00:00:00"/>
    <x v="4"/>
    <n v="7014.04"/>
    <n v="191"/>
  </r>
  <r>
    <x v="6"/>
    <x v="2"/>
    <x v="13"/>
    <d v="2022-01-02T00:00:00"/>
    <x v="1"/>
    <n v="9390.2800000000007"/>
    <n v="433"/>
  </r>
  <r>
    <x v="5"/>
    <x v="3"/>
    <x v="14"/>
    <d v="2022-08-26T00:00:00"/>
    <x v="2"/>
    <n v="3368.14"/>
    <n v="279"/>
  </r>
  <r>
    <x v="6"/>
    <x v="4"/>
    <x v="0"/>
    <d v="2022-07-31T00:00:00"/>
    <x v="4"/>
    <n v="2200.4"/>
    <n v="152"/>
  </r>
  <r>
    <x v="3"/>
    <x v="3"/>
    <x v="6"/>
    <d v="2022-06-11T00:00:00"/>
    <x v="6"/>
    <n v="381.6"/>
    <n v="23"/>
  </r>
  <r>
    <x v="0"/>
    <x v="5"/>
    <x v="1"/>
    <d v="2022-02-26T00:00:00"/>
    <x v="5"/>
    <n v="16452.13"/>
    <n v="440"/>
  </r>
  <r>
    <x v="5"/>
    <x v="2"/>
    <x v="3"/>
    <d v="2022-07-02T00:00:00"/>
    <x v="4"/>
    <n v="7364.22"/>
    <n v="306"/>
  </r>
  <r>
    <x v="6"/>
    <x v="5"/>
    <x v="6"/>
    <d v="2022-06-01T00:00:00"/>
    <x v="6"/>
    <n v="11031.64"/>
    <n v="300"/>
  </r>
  <r>
    <x v="1"/>
    <x v="2"/>
    <x v="8"/>
    <d v="2022-02-24T00:00:00"/>
    <x v="5"/>
    <n v="715.01"/>
    <n v="37"/>
  </r>
  <r>
    <x v="2"/>
    <x v="0"/>
    <x v="2"/>
    <d v="2022-03-01T00:00:00"/>
    <x v="7"/>
    <n v="5699.19"/>
    <n v="197"/>
  </r>
  <r>
    <x v="7"/>
    <x v="2"/>
    <x v="14"/>
    <d v="2022-02-16T00:00:00"/>
    <x v="5"/>
    <n v="7524.98"/>
    <n v="189"/>
  </r>
  <r>
    <x v="3"/>
    <x v="4"/>
    <x v="7"/>
    <d v="2022-01-01T00:00:00"/>
    <x v="1"/>
    <n v="10002.879999999999"/>
    <n v="253"/>
  </r>
  <r>
    <x v="8"/>
    <x v="3"/>
    <x v="7"/>
    <d v="2022-05-29T00:00:00"/>
    <x v="3"/>
    <n v="3812.45"/>
    <n v="85"/>
  </r>
  <r>
    <x v="0"/>
    <x v="4"/>
    <x v="12"/>
    <d v="2022-08-03T00:00:00"/>
    <x v="2"/>
    <n v="6717.5"/>
    <n v="354"/>
  </r>
  <r>
    <x v="2"/>
    <x v="4"/>
    <x v="5"/>
    <d v="2022-05-09T00:00:00"/>
    <x v="3"/>
    <n v="8326.18"/>
    <n v="167"/>
  </r>
  <r>
    <x v="4"/>
    <x v="3"/>
    <x v="2"/>
    <d v="2022-01-31T00:00:00"/>
    <x v="1"/>
    <n v="5177.5"/>
    <n v="120"/>
  </r>
  <r>
    <x v="7"/>
    <x v="2"/>
    <x v="1"/>
    <d v="2022-07-02T00:00:00"/>
    <x v="4"/>
    <n v="12188.95"/>
    <n v="362"/>
  </r>
  <r>
    <x v="6"/>
    <x v="2"/>
    <x v="7"/>
    <d v="2022-07-23T00:00:00"/>
    <x v="4"/>
    <n v="1225.4100000000001"/>
    <n v="80"/>
  </r>
  <r>
    <x v="8"/>
    <x v="1"/>
    <x v="5"/>
    <d v="2022-04-28T00:00:00"/>
    <x v="0"/>
    <n v="16191.56"/>
    <n v="422"/>
  </r>
  <r>
    <x v="6"/>
    <x v="3"/>
    <x v="3"/>
    <d v="2022-05-01T00:00:00"/>
    <x v="3"/>
    <n v="10095.379999999999"/>
    <n v="364"/>
  </r>
  <r>
    <x v="7"/>
    <x v="5"/>
    <x v="3"/>
    <d v="2022-03-24T00:00:00"/>
    <x v="7"/>
    <n v="8901.98"/>
    <n v="335"/>
  </r>
  <r>
    <x v="1"/>
    <x v="2"/>
    <x v="10"/>
    <d v="2022-08-20T00:00:00"/>
    <x v="2"/>
    <n v="1761.2"/>
    <n v="138"/>
  </r>
  <r>
    <x v="7"/>
    <x v="1"/>
    <x v="4"/>
    <d v="2022-05-02T00:00:00"/>
    <x v="3"/>
    <n v="15189.5"/>
    <n v="308"/>
  </r>
  <r>
    <x v="2"/>
    <x v="5"/>
    <x v="13"/>
    <d v="2022-01-27T00:00:00"/>
    <x v="1"/>
    <n v="7077.02"/>
    <n v="189"/>
  </r>
  <r>
    <x v="3"/>
    <x v="4"/>
    <x v="5"/>
    <d v="2022-06-21T00:00:00"/>
    <x v="6"/>
    <n v="16495.37"/>
    <n v="424"/>
  </r>
  <r>
    <x v="5"/>
    <x v="1"/>
    <x v="8"/>
    <d v="2022-02-27T00:00:00"/>
    <x v="5"/>
    <n v="6530.73"/>
    <n v="215"/>
  </r>
  <r>
    <x v="5"/>
    <x v="4"/>
    <x v="10"/>
    <d v="2022-06-05T00:00:00"/>
    <x v="6"/>
    <n v="12915.63"/>
    <n v="388"/>
  </r>
  <r>
    <x v="4"/>
    <x v="0"/>
    <x v="11"/>
    <d v="2022-08-06T00:00:00"/>
    <x v="2"/>
    <n v="16425.05"/>
    <n v="375"/>
  </r>
  <r>
    <x v="6"/>
    <x v="4"/>
    <x v="7"/>
    <d v="2022-06-12T00:00:00"/>
    <x v="6"/>
    <n v="6775"/>
    <n v="352"/>
  </r>
  <r>
    <x v="0"/>
    <x v="0"/>
    <x v="3"/>
    <d v="2022-03-24T00:00:00"/>
    <x v="7"/>
    <n v="4553.78"/>
    <n v="237"/>
  </r>
  <r>
    <x v="8"/>
    <x v="5"/>
    <x v="13"/>
    <d v="2022-04-17T00:00:00"/>
    <x v="0"/>
    <n v="20895.189999999999"/>
    <n v="482"/>
  </r>
  <r>
    <x v="3"/>
    <x v="1"/>
    <x v="11"/>
    <d v="2022-07-16T00:00:00"/>
    <x v="4"/>
    <n v="14822.36"/>
    <n v="318"/>
  </r>
  <r>
    <x v="1"/>
    <x v="3"/>
    <x v="4"/>
    <d v="2022-03-27T00:00:00"/>
    <x v="7"/>
    <n v="3428.81"/>
    <n v="225"/>
  </r>
  <r>
    <x v="9"/>
    <x v="5"/>
    <x v="11"/>
    <d v="2022-06-10T00:00:00"/>
    <x v="6"/>
    <n v="2925.47"/>
    <n v="224"/>
  </r>
  <r>
    <x v="0"/>
    <x v="0"/>
    <x v="5"/>
    <d v="2022-01-10T00:00:00"/>
    <x v="1"/>
    <n v="19444.09"/>
    <n v="452"/>
  </r>
  <r>
    <x v="1"/>
    <x v="1"/>
    <x v="7"/>
    <d v="2022-03-09T00:00:00"/>
    <x v="7"/>
    <n v="8591.2000000000007"/>
    <n v="176"/>
  </r>
  <r>
    <x v="0"/>
    <x v="1"/>
    <x v="1"/>
    <d v="2022-04-30T00:00:00"/>
    <x v="0"/>
    <n v="2289.16"/>
    <n v="167"/>
  </r>
  <r>
    <x v="2"/>
    <x v="1"/>
    <x v="11"/>
    <d v="2022-06-01T00:00:00"/>
    <x v="6"/>
    <n v="6384.11"/>
    <n v="265"/>
  </r>
  <r>
    <x v="0"/>
    <x v="5"/>
    <x v="11"/>
    <d v="2022-01-10T00:00:00"/>
    <x v="1"/>
    <n v="2747.98"/>
    <n v="115"/>
  </r>
  <r>
    <x v="8"/>
    <x v="4"/>
    <x v="0"/>
    <d v="2022-04-27T00:00:00"/>
    <x v="0"/>
    <n v="6324.87"/>
    <n v="296"/>
  </r>
  <r>
    <x v="8"/>
    <x v="5"/>
    <x v="13"/>
    <d v="2022-01-19T00:00:00"/>
    <x v="1"/>
    <n v="4592.38"/>
    <n v="155"/>
  </r>
  <r>
    <x v="6"/>
    <x v="1"/>
    <x v="5"/>
    <d v="2022-05-29T00:00:00"/>
    <x v="3"/>
    <n v="5016.53"/>
    <n v="164"/>
  </r>
  <r>
    <x v="1"/>
    <x v="5"/>
    <x v="13"/>
    <d v="2022-03-19T00:00:00"/>
    <x v="7"/>
    <n v="636.78"/>
    <n v="43"/>
  </r>
  <r>
    <x v="8"/>
    <x v="2"/>
    <x v="8"/>
    <d v="2022-03-28T00:00:00"/>
    <x v="7"/>
    <n v="2948.69"/>
    <n v="189"/>
  </r>
  <r>
    <x v="1"/>
    <x v="0"/>
    <x v="10"/>
    <d v="2022-04-19T00:00:00"/>
    <x v="0"/>
    <n v="19971.419999999998"/>
    <n v="463"/>
  </r>
  <r>
    <x v="7"/>
    <x v="4"/>
    <x v="2"/>
    <d v="2022-06-18T00:00:00"/>
    <x v="6"/>
    <n v="8218.19"/>
    <n v="439"/>
  </r>
  <r>
    <x v="1"/>
    <x v="0"/>
    <x v="9"/>
    <d v="2022-07-21T00:00:00"/>
    <x v="4"/>
    <n v="4964.03"/>
    <n v="225"/>
  </r>
  <r>
    <x v="1"/>
    <x v="4"/>
    <x v="5"/>
    <d v="2022-02-21T00:00:00"/>
    <x v="5"/>
    <n v="7881.92"/>
    <n v="253"/>
  </r>
  <r>
    <x v="4"/>
    <x v="2"/>
    <x v="2"/>
    <d v="2022-08-28T00:00:00"/>
    <x v="2"/>
    <n v="15267.53"/>
    <n v="321"/>
  </r>
  <r>
    <x v="4"/>
    <x v="5"/>
    <x v="7"/>
    <d v="2022-04-02T00:00:00"/>
    <x v="0"/>
    <n v="16343.94"/>
    <n v="485"/>
  </r>
  <r>
    <x v="3"/>
    <x v="5"/>
    <x v="9"/>
    <d v="2022-01-06T00:00:00"/>
    <x v="1"/>
    <n v="10904.55"/>
    <n v="236"/>
  </r>
  <r>
    <x v="1"/>
    <x v="5"/>
    <x v="10"/>
    <d v="2022-07-16T00:00:00"/>
    <x v="4"/>
    <n v="3205"/>
    <n v="81"/>
  </r>
  <r>
    <x v="6"/>
    <x v="3"/>
    <x v="10"/>
    <d v="2022-01-18T00:00:00"/>
    <x v="1"/>
    <n v="5771.22"/>
    <n v="140"/>
  </r>
  <r>
    <x v="9"/>
    <x v="4"/>
    <x v="12"/>
    <d v="2022-03-24T00:00:00"/>
    <x v="7"/>
    <n v="3977.2"/>
    <n v="80"/>
  </r>
  <r>
    <x v="5"/>
    <x v="3"/>
    <x v="2"/>
    <d v="2022-02-21T00:00:00"/>
    <x v="5"/>
    <n v="8919.5"/>
    <n v="363"/>
  </r>
  <r>
    <x v="9"/>
    <x v="1"/>
    <x v="8"/>
    <d v="2022-04-06T00:00:00"/>
    <x v="0"/>
    <n v="23284.44"/>
    <n v="499"/>
  </r>
  <r>
    <x v="4"/>
    <x v="4"/>
    <x v="6"/>
    <d v="2022-04-27T00:00:00"/>
    <x v="0"/>
    <n v="4260.4399999999996"/>
    <n v="103"/>
  </r>
  <r>
    <x v="7"/>
    <x v="2"/>
    <x v="4"/>
    <d v="2022-03-14T00:00:00"/>
    <x v="7"/>
    <n v="7570.61"/>
    <n v="159"/>
  </r>
  <r>
    <x v="1"/>
    <x v="4"/>
    <x v="1"/>
    <d v="2022-03-31T00:00:00"/>
    <x v="7"/>
    <n v="18742.38"/>
    <n v="469"/>
  </r>
  <r>
    <x v="9"/>
    <x v="1"/>
    <x v="13"/>
    <d v="2022-07-07T00:00:00"/>
    <x v="4"/>
    <n v="8787.7999999999993"/>
    <n v="249"/>
  </r>
  <r>
    <x v="0"/>
    <x v="3"/>
    <x v="10"/>
    <d v="2022-07-01T00:00:00"/>
    <x v="4"/>
    <n v="16253.66"/>
    <n v="423"/>
  </r>
  <r>
    <x v="0"/>
    <x v="2"/>
    <x v="0"/>
    <d v="2022-05-06T00:00:00"/>
    <x v="3"/>
    <n v="10789.63"/>
    <n v="436"/>
  </r>
  <r>
    <x v="6"/>
    <x v="0"/>
    <x v="10"/>
    <d v="2022-03-20T00:00:00"/>
    <x v="7"/>
    <n v="841.52"/>
    <n v="27"/>
  </r>
  <r>
    <x v="0"/>
    <x v="1"/>
    <x v="10"/>
    <d v="2022-01-30T00:00:00"/>
    <x v="1"/>
    <n v="5926.16"/>
    <n v="152"/>
  </r>
  <r>
    <x v="7"/>
    <x v="4"/>
    <x v="13"/>
    <d v="2022-06-02T00:00:00"/>
    <x v="6"/>
    <n v="7066.65"/>
    <n v="221"/>
  </r>
  <r>
    <x v="6"/>
    <x v="3"/>
    <x v="1"/>
    <d v="2022-04-01T00:00:00"/>
    <x v="0"/>
    <n v="11533.13"/>
    <n v="427"/>
  </r>
  <r>
    <x v="7"/>
    <x v="4"/>
    <x v="5"/>
    <d v="2022-06-10T00:00:00"/>
    <x v="6"/>
    <n v="6390.52"/>
    <n v="146"/>
  </r>
  <r>
    <x v="3"/>
    <x v="5"/>
    <x v="6"/>
    <d v="2022-06-09T00:00:00"/>
    <x v="6"/>
    <n v="444.44"/>
    <n v="15"/>
  </r>
  <r>
    <x v="7"/>
    <x v="3"/>
    <x v="14"/>
    <d v="2022-06-15T00:00:00"/>
    <x v="6"/>
    <n v="7220.46"/>
    <n v="171"/>
  </r>
  <r>
    <x v="5"/>
    <x v="0"/>
    <x v="14"/>
    <d v="2022-02-24T00:00:00"/>
    <x v="5"/>
    <n v="3490.94"/>
    <n v="120"/>
  </r>
  <r>
    <x v="9"/>
    <x v="0"/>
    <x v="5"/>
    <d v="2022-08-12T00:00:00"/>
    <x v="2"/>
    <n v="7408.06"/>
    <n v="168"/>
  </r>
  <r>
    <x v="5"/>
    <x v="0"/>
    <x v="4"/>
    <d v="2022-07-31T00:00:00"/>
    <x v="4"/>
    <n v="4111.71"/>
    <n v="175"/>
  </r>
  <r>
    <x v="2"/>
    <x v="2"/>
    <x v="5"/>
    <d v="2022-03-28T00:00:00"/>
    <x v="7"/>
    <n v="3823.54"/>
    <n v="269"/>
  </r>
  <r>
    <x v="9"/>
    <x v="4"/>
    <x v="3"/>
    <d v="2022-07-06T00:00:00"/>
    <x v="4"/>
    <n v="4542.8599999999997"/>
    <n v="186"/>
  </r>
  <r>
    <x v="5"/>
    <x v="1"/>
    <x v="11"/>
    <d v="2022-04-29T00:00:00"/>
    <x v="0"/>
    <n v="527.39"/>
    <n v="11"/>
  </r>
  <r>
    <x v="8"/>
    <x v="5"/>
    <x v="13"/>
    <d v="2022-02-22T00:00:00"/>
    <x v="5"/>
    <n v="4013.93"/>
    <n v="124"/>
  </r>
  <r>
    <x v="7"/>
    <x v="4"/>
    <x v="9"/>
    <d v="2022-01-12T00:00:00"/>
    <x v="1"/>
    <n v="593.94000000000005"/>
    <n v="38"/>
  </r>
  <r>
    <x v="1"/>
    <x v="1"/>
    <x v="14"/>
    <d v="2022-01-08T00:00:00"/>
    <x v="1"/>
    <n v="4318.42"/>
    <n v="175"/>
  </r>
  <r>
    <x v="3"/>
    <x v="5"/>
    <x v="2"/>
    <d v="2022-05-15T00:00:00"/>
    <x v="3"/>
    <n v="5293.89"/>
    <n v="144"/>
  </r>
  <r>
    <x v="5"/>
    <x v="5"/>
    <x v="10"/>
    <d v="2022-01-24T00:00:00"/>
    <x v="1"/>
    <n v="3165.41"/>
    <n v="181"/>
  </r>
  <r>
    <x v="1"/>
    <x v="5"/>
    <x v="0"/>
    <d v="2022-04-24T00:00:00"/>
    <x v="0"/>
    <n v="5212.22"/>
    <n v="224"/>
  </r>
  <r>
    <x v="2"/>
    <x v="1"/>
    <x v="5"/>
    <d v="2022-06-12T00:00:00"/>
    <x v="6"/>
    <n v="4320.88"/>
    <n v="211"/>
  </r>
  <r>
    <x v="2"/>
    <x v="1"/>
    <x v="13"/>
    <d v="2022-08-27T00:00:00"/>
    <x v="2"/>
    <n v="434.03"/>
    <n v="16"/>
  </r>
  <r>
    <x v="7"/>
    <x v="5"/>
    <x v="4"/>
    <d v="2022-02-22T00:00:00"/>
    <x v="5"/>
    <n v="15708.48"/>
    <n v="486"/>
  </r>
  <r>
    <x v="5"/>
    <x v="3"/>
    <x v="7"/>
    <d v="2022-05-26T00:00:00"/>
    <x v="3"/>
    <n v="411.5"/>
    <n v="16"/>
  </r>
  <r>
    <x v="8"/>
    <x v="4"/>
    <x v="6"/>
    <d v="2022-07-30T00:00:00"/>
    <x v="4"/>
    <n v="2124.81"/>
    <n v="101"/>
  </r>
  <r>
    <x v="5"/>
    <x v="4"/>
    <x v="8"/>
    <d v="2022-01-12T00:00:00"/>
    <x v="1"/>
    <n v="984.79"/>
    <n v="32"/>
  </r>
  <r>
    <x v="2"/>
    <x v="3"/>
    <x v="11"/>
    <d v="2022-04-26T00:00:00"/>
    <x v="0"/>
    <n v="13049.1"/>
    <n v="327"/>
  </r>
  <r>
    <x v="6"/>
    <x v="2"/>
    <x v="1"/>
    <d v="2022-06-29T00:00:00"/>
    <x v="6"/>
    <n v="956.42"/>
    <n v="21"/>
  </r>
  <r>
    <x v="2"/>
    <x v="3"/>
    <x v="14"/>
    <d v="2022-04-15T00:00:00"/>
    <x v="0"/>
    <n v="5712.21"/>
    <n v="337"/>
  </r>
  <r>
    <x v="4"/>
    <x v="2"/>
    <x v="9"/>
    <d v="2022-04-28T00:00:00"/>
    <x v="0"/>
    <n v="6985.76"/>
    <n v="410"/>
  </r>
  <r>
    <x v="1"/>
    <x v="5"/>
    <x v="9"/>
    <d v="2022-08-10T00:00:00"/>
    <x v="2"/>
    <n v="10122.81"/>
    <n v="236"/>
  </r>
  <r>
    <x v="6"/>
    <x v="5"/>
    <x v="3"/>
    <d v="2022-01-22T00:00:00"/>
    <x v="1"/>
    <n v="4746.8599999999997"/>
    <n v="321"/>
  </r>
  <r>
    <x v="7"/>
    <x v="1"/>
    <x v="11"/>
    <d v="2022-03-19T00:00:00"/>
    <x v="7"/>
    <n v="365.6"/>
    <n v="18"/>
  </r>
  <r>
    <x v="3"/>
    <x v="3"/>
    <x v="6"/>
    <d v="2022-08-15T00:00:00"/>
    <x v="2"/>
    <n v="9791.02"/>
    <n v="385"/>
  </r>
  <r>
    <x v="0"/>
    <x v="5"/>
    <x v="8"/>
    <d v="2022-01-23T00:00:00"/>
    <x v="1"/>
    <n v="6966.13"/>
    <n v="364"/>
  </r>
  <r>
    <x v="5"/>
    <x v="5"/>
    <x v="5"/>
    <d v="2022-01-20T00:00:00"/>
    <x v="1"/>
    <n v="14282.35"/>
    <n v="458"/>
  </r>
  <r>
    <x v="4"/>
    <x v="0"/>
    <x v="8"/>
    <d v="2022-08-24T00:00:00"/>
    <x v="2"/>
    <n v="2735.77"/>
    <n v="73"/>
  </r>
  <r>
    <x v="1"/>
    <x v="0"/>
    <x v="11"/>
    <d v="2022-02-17T00:00:00"/>
    <x v="5"/>
    <n v="5503.98"/>
    <n v="338"/>
  </r>
  <r>
    <x v="2"/>
    <x v="1"/>
    <x v="11"/>
    <d v="2022-05-04T00:00:00"/>
    <x v="3"/>
    <n v="10872.5"/>
    <n v="351"/>
  </r>
  <r>
    <x v="2"/>
    <x v="4"/>
    <x v="0"/>
    <d v="2022-01-06T00:00:00"/>
    <x v="1"/>
    <n v="4158.5"/>
    <n v="286"/>
  </r>
  <r>
    <x v="1"/>
    <x v="4"/>
    <x v="7"/>
    <d v="2022-04-15T00:00:00"/>
    <x v="0"/>
    <n v="23977.48"/>
    <n v="481"/>
  </r>
  <r>
    <x v="8"/>
    <x v="3"/>
    <x v="12"/>
    <d v="2022-08-25T00:00:00"/>
    <x v="2"/>
    <n v="5031.0600000000004"/>
    <n v="161"/>
  </r>
  <r>
    <x v="5"/>
    <x v="0"/>
    <x v="8"/>
    <d v="2022-05-31T00:00:00"/>
    <x v="3"/>
    <n v="7460.34"/>
    <n v="356"/>
  </r>
  <r>
    <x v="1"/>
    <x v="5"/>
    <x v="9"/>
    <d v="2022-07-08T00:00:00"/>
    <x v="4"/>
    <n v="6613.2"/>
    <n v="186"/>
  </r>
  <r>
    <x v="1"/>
    <x v="3"/>
    <x v="3"/>
    <d v="2022-04-30T00:00:00"/>
    <x v="0"/>
    <n v="708.87"/>
    <n v="36"/>
  </r>
  <r>
    <x v="4"/>
    <x v="3"/>
    <x v="11"/>
    <d v="2022-06-16T00:00:00"/>
    <x v="6"/>
    <n v="10445.39"/>
    <n v="306"/>
  </r>
  <r>
    <x v="3"/>
    <x v="4"/>
    <x v="8"/>
    <d v="2022-04-11T00:00:00"/>
    <x v="0"/>
    <n v="5797.63"/>
    <n v="254"/>
  </r>
  <r>
    <x v="3"/>
    <x v="2"/>
    <x v="13"/>
    <d v="2022-03-19T00:00:00"/>
    <x v="7"/>
    <n v="10473.969999999999"/>
    <n v="441"/>
  </r>
  <r>
    <x v="4"/>
    <x v="0"/>
    <x v="7"/>
    <d v="2022-07-15T00:00:00"/>
    <x v="4"/>
    <n v="1372.66"/>
    <n v="33"/>
  </r>
  <r>
    <x v="4"/>
    <x v="3"/>
    <x v="14"/>
    <d v="2022-03-03T00:00:00"/>
    <x v="7"/>
    <n v="11414.54"/>
    <n v="333"/>
  </r>
  <r>
    <x v="5"/>
    <x v="2"/>
    <x v="8"/>
    <d v="2022-05-16T00:00:00"/>
    <x v="3"/>
    <n v="631.36"/>
    <n v="41"/>
  </r>
  <r>
    <x v="0"/>
    <x v="4"/>
    <x v="13"/>
    <d v="2022-03-30T00:00:00"/>
    <x v="7"/>
    <n v="6093.04"/>
    <n v="357"/>
  </r>
  <r>
    <x v="6"/>
    <x v="4"/>
    <x v="7"/>
    <d v="2022-04-13T00:00:00"/>
    <x v="0"/>
    <n v="3335.93"/>
    <n v="270"/>
  </r>
  <r>
    <x v="4"/>
    <x v="5"/>
    <x v="3"/>
    <d v="2022-06-11T00:00:00"/>
    <x v="6"/>
    <n v="15130.24"/>
    <n v="384"/>
  </r>
  <r>
    <x v="8"/>
    <x v="4"/>
    <x v="12"/>
    <d v="2022-03-05T00:00:00"/>
    <x v="7"/>
    <n v="3321.69"/>
    <n v="145"/>
  </r>
  <r>
    <x v="3"/>
    <x v="3"/>
    <x v="0"/>
    <d v="2022-08-16T00:00:00"/>
    <x v="2"/>
    <n v="2336.36"/>
    <n v="119"/>
  </r>
  <r>
    <x v="5"/>
    <x v="5"/>
    <x v="11"/>
    <d v="2022-04-15T00:00:00"/>
    <x v="0"/>
    <n v="19443.77"/>
    <n v="420"/>
  </r>
  <r>
    <x v="6"/>
    <x v="0"/>
    <x v="5"/>
    <d v="2022-01-31T00:00:00"/>
    <x v="1"/>
    <n v="4534.5"/>
    <n v="161"/>
  </r>
  <r>
    <x v="2"/>
    <x v="1"/>
    <x v="11"/>
    <d v="2022-08-24T00:00:00"/>
    <x v="2"/>
    <n v="1027.0999999999999"/>
    <n v="69"/>
  </r>
  <r>
    <x v="1"/>
    <x v="2"/>
    <x v="7"/>
    <d v="2022-03-15T00:00:00"/>
    <x v="7"/>
    <n v="2883"/>
    <n v="66"/>
  </r>
  <r>
    <x v="9"/>
    <x v="3"/>
    <x v="12"/>
    <d v="2022-01-08T00:00:00"/>
    <x v="1"/>
    <n v="2593.64"/>
    <n v="66"/>
  </r>
  <r>
    <x v="9"/>
    <x v="1"/>
    <x v="11"/>
    <d v="2022-04-03T00:00:00"/>
    <x v="0"/>
    <n v="5802.73"/>
    <n v="433"/>
  </r>
  <r>
    <x v="1"/>
    <x v="4"/>
    <x v="11"/>
    <d v="2022-05-18T00:00:00"/>
    <x v="3"/>
    <n v="11992.11"/>
    <n v="257"/>
  </r>
  <r>
    <x v="2"/>
    <x v="5"/>
    <x v="7"/>
    <d v="2022-02-07T00:00:00"/>
    <x v="5"/>
    <n v="352.92"/>
    <n v="30"/>
  </r>
  <r>
    <x v="7"/>
    <x v="3"/>
    <x v="5"/>
    <d v="2022-05-28T00:00:00"/>
    <x v="3"/>
    <n v="7024.11"/>
    <n v="190"/>
  </r>
  <r>
    <x v="3"/>
    <x v="3"/>
    <x v="7"/>
    <d v="2022-05-31T00:00:00"/>
    <x v="3"/>
    <n v="2884.52"/>
    <n v="118"/>
  </r>
  <r>
    <x v="2"/>
    <x v="5"/>
    <x v="6"/>
    <d v="2022-06-26T00:00:00"/>
    <x v="6"/>
    <n v="5022.76"/>
    <n v="154"/>
  </r>
  <r>
    <x v="2"/>
    <x v="3"/>
    <x v="3"/>
    <d v="2022-08-18T00:00:00"/>
    <x v="2"/>
    <n v="5250.58"/>
    <n v="299"/>
  </r>
  <r>
    <x v="1"/>
    <x v="5"/>
    <x v="9"/>
    <d v="2022-05-09T00:00:00"/>
    <x v="3"/>
    <n v="2584.15"/>
    <n v="108"/>
  </r>
  <r>
    <x v="9"/>
    <x v="5"/>
    <x v="8"/>
    <d v="2022-07-13T00:00:00"/>
    <x v="4"/>
    <n v="8581.27"/>
    <n v="190"/>
  </r>
  <r>
    <x v="3"/>
    <x v="3"/>
    <x v="3"/>
    <d v="2022-06-03T00:00:00"/>
    <x v="6"/>
    <n v="559.73"/>
    <n v="12"/>
  </r>
  <r>
    <x v="6"/>
    <x v="2"/>
    <x v="6"/>
    <d v="2022-06-07T00:00:00"/>
    <x v="6"/>
    <n v="12905.06"/>
    <n v="498"/>
  </r>
  <r>
    <x v="3"/>
    <x v="5"/>
    <x v="7"/>
    <d v="2022-06-24T00:00:00"/>
    <x v="6"/>
    <n v="13509.42"/>
    <n v="296"/>
  </r>
  <r>
    <x v="2"/>
    <x v="2"/>
    <x v="2"/>
    <d v="2022-05-29T00:00:00"/>
    <x v="3"/>
    <n v="3116.98"/>
    <n v="148"/>
  </r>
  <r>
    <x v="4"/>
    <x v="5"/>
    <x v="13"/>
    <d v="2022-06-05T00:00:00"/>
    <x v="6"/>
    <n v="1123.46"/>
    <n v="56"/>
  </r>
  <r>
    <x v="1"/>
    <x v="5"/>
    <x v="9"/>
    <d v="2022-03-30T00:00:00"/>
    <x v="7"/>
    <n v="18188.8"/>
    <n v="495"/>
  </r>
  <r>
    <x v="9"/>
    <x v="5"/>
    <x v="4"/>
    <d v="2022-01-25T00:00:00"/>
    <x v="1"/>
    <n v="8484.94"/>
    <n v="317"/>
  </r>
  <r>
    <x v="3"/>
    <x v="3"/>
    <x v="0"/>
    <d v="2022-07-22T00:00:00"/>
    <x v="4"/>
    <n v="6693.75"/>
    <n v="476"/>
  </r>
  <r>
    <x v="5"/>
    <x v="3"/>
    <x v="1"/>
    <d v="2022-06-27T00:00:00"/>
    <x v="6"/>
    <n v="9682.74"/>
    <n v="394"/>
  </r>
  <r>
    <x v="4"/>
    <x v="4"/>
    <x v="13"/>
    <d v="2022-01-19T00:00:00"/>
    <x v="1"/>
    <n v="3241.7"/>
    <n v="232"/>
  </r>
  <r>
    <x v="8"/>
    <x v="2"/>
    <x v="5"/>
    <d v="2022-03-29T00:00:00"/>
    <x v="7"/>
    <n v="10885.26"/>
    <n v="233"/>
  </r>
  <r>
    <x v="6"/>
    <x v="5"/>
    <x v="13"/>
    <d v="2022-06-24T00:00:00"/>
    <x v="6"/>
    <n v="4934.32"/>
    <n v="194"/>
  </r>
  <r>
    <x v="1"/>
    <x v="3"/>
    <x v="13"/>
    <d v="2022-03-24T00:00:00"/>
    <x v="7"/>
    <n v="21726.67"/>
    <n v="436"/>
  </r>
  <r>
    <x v="1"/>
    <x v="3"/>
    <x v="1"/>
    <d v="2022-04-18T00:00:00"/>
    <x v="0"/>
    <n v="5873.54"/>
    <n v="355"/>
  </r>
  <r>
    <x v="2"/>
    <x v="0"/>
    <x v="2"/>
    <d v="2022-07-10T00:00:00"/>
    <x v="4"/>
    <n v="9561.31"/>
    <n v="268"/>
  </r>
  <r>
    <x v="2"/>
    <x v="4"/>
    <x v="12"/>
    <d v="2022-02-26T00:00:00"/>
    <x v="5"/>
    <n v="3463.01"/>
    <n v="74"/>
  </r>
  <r>
    <x v="4"/>
    <x v="5"/>
    <x v="12"/>
    <d v="2022-06-23T00:00:00"/>
    <x v="6"/>
    <n v="136.05000000000001"/>
    <n v="11"/>
  </r>
  <r>
    <x v="6"/>
    <x v="4"/>
    <x v="3"/>
    <d v="2022-05-21T00:00:00"/>
    <x v="3"/>
    <n v="3525.11"/>
    <n v="215"/>
  </r>
  <r>
    <x v="6"/>
    <x v="4"/>
    <x v="12"/>
    <d v="2022-04-08T00:00:00"/>
    <x v="0"/>
    <n v="4819.1499999999996"/>
    <n v="332"/>
  </r>
  <r>
    <x v="8"/>
    <x v="0"/>
    <x v="9"/>
    <d v="2022-08-21T00:00:00"/>
    <x v="2"/>
    <n v="5661.96"/>
    <n v="136"/>
  </r>
  <r>
    <x v="4"/>
    <x v="4"/>
    <x v="8"/>
    <d v="2022-01-28T00:00:00"/>
    <x v="1"/>
    <n v="980.84"/>
    <n v="39"/>
  </r>
  <r>
    <x v="0"/>
    <x v="4"/>
    <x v="12"/>
    <d v="2022-08-05T00:00:00"/>
    <x v="2"/>
    <n v="1430.77"/>
    <n v="38"/>
  </r>
  <r>
    <x v="5"/>
    <x v="2"/>
    <x v="9"/>
    <d v="2022-07-27T00:00:00"/>
    <x v="4"/>
    <n v="1178.22"/>
    <n v="40"/>
  </r>
  <r>
    <x v="0"/>
    <x v="3"/>
    <x v="1"/>
    <d v="2022-02-18T00:00:00"/>
    <x v="5"/>
    <n v="9645.48"/>
    <n v="286"/>
  </r>
  <r>
    <x v="9"/>
    <x v="3"/>
    <x v="11"/>
    <d v="2022-02-11T00:00:00"/>
    <x v="5"/>
    <n v="3703.09"/>
    <n v="141"/>
  </r>
  <r>
    <x v="7"/>
    <x v="3"/>
    <x v="14"/>
    <d v="2022-02-28T00:00:00"/>
    <x v="5"/>
    <n v="10465.99"/>
    <n v="393"/>
  </r>
  <r>
    <x v="3"/>
    <x v="2"/>
    <x v="8"/>
    <d v="2022-03-27T00:00:00"/>
    <x v="7"/>
    <n v="11297.48"/>
    <n v="314"/>
  </r>
  <r>
    <x v="2"/>
    <x v="5"/>
    <x v="13"/>
    <d v="2022-07-26T00:00:00"/>
    <x v="4"/>
    <n v="9203.3799999999992"/>
    <n v="400"/>
  </r>
  <r>
    <x v="0"/>
    <x v="2"/>
    <x v="6"/>
    <d v="2022-07-07T00:00:00"/>
    <x v="4"/>
    <n v="10092.43"/>
    <n v="239"/>
  </r>
  <r>
    <x v="1"/>
    <x v="3"/>
    <x v="7"/>
    <d v="2022-07-11T00:00:00"/>
    <x v="4"/>
    <n v="2394.9"/>
    <n v="84"/>
  </r>
  <r>
    <x v="1"/>
    <x v="4"/>
    <x v="8"/>
    <d v="2022-01-31T00:00:00"/>
    <x v="1"/>
    <n v="4157.41"/>
    <n v="264"/>
  </r>
  <r>
    <x v="9"/>
    <x v="4"/>
    <x v="5"/>
    <d v="2022-06-28T00:00:00"/>
    <x v="6"/>
    <n v="3986.46"/>
    <n v="140"/>
  </r>
  <r>
    <x v="3"/>
    <x v="3"/>
    <x v="3"/>
    <d v="2022-06-03T00:00:00"/>
    <x v="6"/>
    <n v="16045.86"/>
    <n v="477"/>
  </r>
  <r>
    <x v="1"/>
    <x v="3"/>
    <x v="0"/>
    <d v="2022-01-27T00:00:00"/>
    <x v="1"/>
    <n v="5616.37"/>
    <n v="246"/>
  </r>
  <r>
    <x v="4"/>
    <x v="2"/>
    <x v="10"/>
    <d v="2022-08-11T00:00:00"/>
    <x v="2"/>
    <n v="1741.42"/>
    <n v="42"/>
  </r>
  <r>
    <x v="9"/>
    <x v="4"/>
    <x v="9"/>
    <d v="2022-07-27T00:00:00"/>
    <x v="4"/>
    <n v="4344.3500000000004"/>
    <n v="109"/>
  </r>
  <r>
    <x v="8"/>
    <x v="5"/>
    <x v="1"/>
    <d v="2022-03-09T00:00:00"/>
    <x v="7"/>
    <n v="8483.48"/>
    <n v="342"/>
  </r>
  <r>
    <x v="6"/>
    <x v="3"/>
    <x v="2"/>
    <d v="2022-05-06T00:00:00"/>
    <x v="3"/>
    <n v="723.29"/>
    <n v="27"/>
  </r>
  <r>
    <x v="0"/>
    <x v="1"/>
    <x v="2"/>
    <d v="2022-01-20T00:00:00"/>
    <x v="1"/>
    <n v="4476"/>
    <n v="343"/>
  </r>
  <r>
    <x v="3"/>
    <x v="3"/>
    <x v="14"/>
    <d v="2022-05-09T00:00:00"/>
    <x v="3"/>
    <n v="13449.54"/>
    <n v="299"/>
  </r>
  <r>
    <x v="2"/>
    <x v="3"/>
    <x v="9"/>
    <d v="2022-07-27T00:00:00"/>
    <x v="4"/>
    <n v="13220.1"/>
    <n v="305"/>
  </r>
  <r>
    <x v="6"/>
    <x v="4"/>
    <x v="14"/>
    <d v="2022-06-03T00:00:00"/>
    <x v="6"/>
    <n v="16987.7"/>
    <n v="411"/>
  </r>
  <r>
    <x v="2"/>
    <x v="4"/>
    <x v="3"/>
    <d v="2022-07-10T00:00:00"/>
    <x v="4"/>
    <n v="9085.51"/>
    <n v="237"/>
  </r>
  <r>
    <x v="6"/>
    <x v="5"/>
    <x v="13"/>
    <d v="2022-06-27T00:00:00"/>
    <x v="6"/>
    <n v="11544.08"/>
    <n v="423"/>
  </r>
  <r>
    <x v="6"/>
    <x v="5"/>
    <x v="8"/>
    <d v="2022-04-23T00:00:00"/>
    <x v="0"/>
    <n v="12587.78"/>
    <n v="297"/>
  </r>
  <r>
    <x v="8"/>
    <x v="0"/>
    <x v="2"/>
    <d v="2022-04-17T00:00:00"/>
    <x v="0"/>
    <n v="12202.64"/>
    <n v="321"/>
  </r>
  <r>
    <x v="7"/>
    <x v="1"/>
    <x v="14"/>
    <d v="2022-01-23T00:00:00"/>
    <x v="1"/>
    <n v="6319.71"/>
    <n v="366"/>
  </r>
  <r>
    <x v="6"/>
    <x v="3"/>
    <x v="10"/>
    <d v="2022-02-18T00:00:00"/>
    <x v="5"/>
    <n v="16902.63"/>
    <n v="472"/>
  </r>
  <r>
    <x v="8"/>
    <x v="2"/>
    <x v="5"/>
    <d v="2022-08-03T00:00:00"/>
    <x v="2"/>
    <n v="5408.77"/>
    <n v="412"/>
  </r>
  <r>
    <x v="2"/>
    <x v="3"/>
    <x v="6"/>
    <d v="2022-05-02T00:00:00"/>
    <x v="3"/>
    <n v="11725.2"/>
    <n v="314"/>
  </r>
  <r>
    <x v="8"/>
    <x v="0"/>
    <x v="5"/>
    <d v="2022-04-22T00:00:00"/>
    <x v="0"/>
    <n v="9669.7099999999991"/>
    <n v="376"/>
  </r>
  <r>
    <x v="2"/>
    <x v="3"/>
    <x v="8"/>
    <d v="2022-01-03T00:00:00"/>
    <x v="1"/>
    <n v="2875.15"/>
    <n v="201"/>
  </r>
  <r>
    <x v="3"/>
    <x v="2"/>
    <x v="13"/>
    <d v="2022-03-11T00:00:00"/>
    <x v="7"/>
    <n v="14214.55"/>
    <n v="447"/>
  </r>
  <r>
    <x v="9"/>
    <x v="2"/>
    <x v="1"/>
    <d v="2022-03-05T00:00:00"/>
    <x v="7"/>
    <n v="1195.52"/>
    <n v="29"/>
  </r>
  <r>
    <x v="6"/>
    <x v="4"/>
    <x v="10"/>
    <d v="2022-05-04T00:00:00"/>
    <x v="3"/>
    <n v="16375.54"/>
    <n v="491"/>
  </r>
  <r>
    <x v="1"/>
    <x v="3"/>
    <x v="0"/>
    <d v="2022-03-24T00:00:00"/>
    <x v="7"/>
    <n v="8190.32"/>
    <n v="240"/>
  </r>
  <r>
    <x v="1"/>
    <x v="3"/>
    <x v="10"/>
    <d v="2022-05-24T00:00:00"/>
    <x v="3"/>
    <n v="19125.150000000001"/>
    <n v="488"/>
  </r>
  <r>
    <x v="0"/>
    <x v="4"/>
    <x v="7"/>
    <d v="2022-04-15T00:00:00"/>
    <x v="0"/>
    <n v="585.65"/>
    <n v="20"/>
  </r>
  <r>
    <x v="0"/>
    <x v="1"/>
    <x v="0"/>
    <d v="2022-03-26T00:00:00"/>
    <x v="7"/>
    <n v="20317.259999999998"/>
    <n v="485"/>
  </r>
  <r>
    <x v="9"/>
    <x v="3"/>
    <x v="4"/>
    <d v="2022-08-07T00:00:00"/>
    <x v="2"/>
    <n v="9887.34"/>
    <n v="320"/>
  </r>
  <r>
    <x v="3"/>
    <x v="0"/>
    <x v="13"/>
    <d v="2022-07-31T00:00:00"/>
    <x v="4"/>
    <n v="8194.42"/>
    <n v="276"/>
  </r>
  <r>
    <x v="4"/>
    <x v="4"/>
    <x v="10"/>
    <d v="2022-03-26T00:00:00"/>
    <x v="7"/>
    <n v="7471.71"/>
    <n v="491"/>
  </r>
  <r>
    <x v="3"/>
    <x v="1"/>
    <x v="14"/>
    <d v="2022-06-02T00:00:00"/>
    <x v="6"/>
    <n v="7060.26"/>
    <n v="142"/>
  </r>
  <r>
    <x v="6"/>
    <x v="1"/>
    <x v="2"/>
    <d v="2022-06-02T00:00:00"/>
    <x v="6"/>
    <n v="13053.64"/>
    <n v="282"/>
  </r>
  <r>
    <x v="9"/>
    <x v="5"/>
    <x v="13"/>
    <d v="2022-04-29T00:00:00"/>
    <x v="0"/>
    <n v="8399.02"/>
    <n v="181"/>
  </r>
  <r>
    <x v="6"/>
    <x v="1"/>
    <x v="11"/>
    <d v="2022-03-11T00:00:00"/>
    <x v="7"/>
    <n v="7990.6"/>
    <n v="199"/>
  </r>
  <r>
    <x v="6"/>
    <x v="4"/>
    <x v="0"/>
    <d v="2022-07-25T00:00:00"/>
    <x v="4"/>
    <n v="11098.01"/>
    <n v="225"/>
  </r>
  <r>
    <x v="0"/>
    <x v="4"/>
    <x v="1"/>
    <d v="2022-05-03T00:00:00"/>
    <x v="3"/>
    <n v="19951.07"/>
    <n v="426"/>
  </r>
  <r>
    <x v="0"/>
    <x v="4"/>
    <x v="11"/>
    <d v="2022-01-08T00:00:00"/>
    <x v="1"/>
    <n v="119.82"/>
    <n v="10"/>
  </r>
  <r>
    <x v="3"/>
    <x v="5"/>
    <x v="13"/>
    <d v="2022-01-02T00:00:00"/>
    <x v="1"/>
    <n v="12551.57"/>
    <n v="377"/>
  </r>
  <r>
    <x v="5"/>
    <x v="5"/>
    <x v="4"/>
    <d v="2022-07-29T00:00:00"/>
    <x v="4"/>
    <n v="7718.1"/>
    <n v="265"/>
  </r>
  <r>
    <x v="2"/>
    <x v="3"/>
    <x v="1"/>
    <d v="2022-07-29T00:00:00"/>
    <x v="4"/>
    <n v="6264.79"/>
    <n v="163"/>
  </r>
  <r>
    <x v="1"/>
    <x v="4"/>
    <x v="9"/>
    <d v="2022-01-06T00:00:00"/>
    <x v="1"/>
    <n v="1617.05"/>
    <n v="69"/>
  </r>
  <r>
    <x v="4"/>
    <x v="2"/>
    <x v="12"/>
    <d v="2022-03-26T00:00:00"/>
    <x v="7"/>
    <n v="2630.52"/>
    <n v="64"/>
  </r>
  <r>
    <x v="6"/>
    <x v="5"/>
    <x v="14"/>
    <d v="2022-08-28T00:00:00"/>
    <x v="2"/>
    <n v="5024.53"/>
    <n v="251"/>
  </r>
  <r>
    <x v="0"/>
    <x v="0"/>
    <x v="7"/>
    <d v="2022-01-27T00:00:00"/>
    <x v="1"/>
    <n v="19586.580000000002"/>
    <n v="451"/>
  </r>
  <r>
    <x v="0"/>
    <x v="0"/>
    <x v="10"/>
    <d v="2022-07-11T00:00:00"/>
    <x v="4"/>
    <n v="1905.06"/>
    <n v="40"/>
  </r>
  <r>
    <x v="9"/>
    <x v="2"/>
    <x v="13"/>
    <d v="2022-04-12T00:00:00"/>
    <x v="0"/>
    <n v="5032.22"/>
    <n v="474"/>
  </r>
  <r>
    <x v="4"/>
    <x v="1"/>
    <x v="5"/>
    <d v="2022-04-19T00:00:00"/>
    <x v="0"/>
    <n v="7678.26"/>
    <n v="236"/>
  </r>
  <r>
    <x v="6"/>
    <x v="1"/>
    <x v="8"/>
    <d v="2022-02-10T00:00:00"/>
    <x v="5"/>
    <n v="20181"/>
    <n v="409"/>
  </r>
  <r>
    <x v="6"/>
    <x v="0"/>
    <x v="13"/>
    <d v="2022-01-04T00:00:00"/>
    <x v="1"/>
    <n v="8709.2199999999993"/>
    <n v="178"/>
  </r>
  <r>
    <x v="8"/>
    <x v="1"/>
    <x v="6"/>
    <d v="2022-08-01T00:00:00"/>
    <x v="2"/>
    <n v="18763.82"/>
    <n v="444"/>
  </r>
  <r>
    <x v="0"/>
    <x v="4"/>
    <x v="7"/>
    <d v="2022-03-20T00:00:00"/>
    <x v="7"/>
    <n v="11343.37"/>
    <n v="269"/>
  </r>
  <r>
    <x v="8"/>
    <x v="1"/>
    <x v="8"/>
    <d v="2022-06-13T00:00:00"/>
    <x v="6"/>
    <n v="4905.1000000000004"/>
    <n v="248"/>
  </r>
  <r>
    <x v="7"/>
    <x v="5"/>
    <x v="12"/>
    <d v="2022-03-17T00:00:00"/>
    <x v="7"/>
    <n v="10071.75"/>
    <n v="204"/>
  </r>
  <r>
    <x v="3"/>
    <x v="0"/>
    <x v="7"/>
    <d v="2022-07-31T00:00:00"/>
    <x v="4"/>
    <n v="5025.6899999999996"/>
    <n v="133"/>
  </r>
  <r>
    <x v="6"/>
    <x v="3"/>
    <x v="12"/>
    <d v="2022-08-30T00:00:00"/>
    <x v="2"/>
    <n v="1274.8599999999999"/>
    <n v="81"/>
  </r>
  <r>
    <x v="5"/>
    <x v="5"/>
    <x v="6"/>
    <d v="2022-04-05T00:00:00"/>
    <x v="0"/>
    <n v="2848.07"/>
    <n v="193"/>
  </r>
  <r>
    <x v="4"/>
    <x v="4"/>
    <x v="4"/>
    <d v="2022-06-19T00:00:00"/>
    <x v="6"/>
    <n v="5431.35"/>
    <n v="152"/>
  </r>
  <r>
    <x v="6"/>
    <x v="1"/>
    <x v="4"/>
    <d v="2022-06-21T00:00:00"/>
    <x v="6"/>
    <n v="23090.87"/>
    <n v="482"/>
  </r>
  <r>
    <x v="2"/>
    <x v="4"/>
    <x v="13"/>
    <d v="2022-06-11T00:00:00"/>
    <x v="6"/>
    <n v="13289.99"/>
    <n v="273"/>
  </r>
  <r>
    <x v="4"/>
    <x v="0"/>
    <x v="14"/>
    <d v="2022-04-02T00:00:00"/>
    <x v="0"/>
    <n v="14114.16"/>
    <n v="422"/>
  </r>
  <r>
    <x v="8"/>
    <x v="4"/>
    <x v="12"/>
    <d v="2022-03-14T00:00:00"/>
    <x v="7"/>
    <n v="3064.72"/>
    <n v="251"/>
  </r>
  <r>
    <x v="5"/>
    <x v="1"/>
    <x v="3"/>
    <d v="2022-07-03T00:00:00"/>
    <x v="4"/>
    <n v="13987.08"/>
    <n v="372"/>
  </r>
  <r>
    <x v="6"/>
    <x v="1"/>
    <x v="9"/>
    <d v="2022-07-18T00:00:00"/>
    <x v="4"/>
    <n v="17890.38"/>
    <n v="457"/>
  </r>
  <r>
    <x v="2"/>
    <x v="1"/>
    <x v="5"/>
    <d v="2022-08-01T00:00:00"/>
    <x v="2"/>
    <n v="11345.7"/>
    <n v="487"/>
  </r>
  <r>
    <x v="8"/>
    <x v="5"/>
    <x v="10"/>
    <d v="2022-05-05T00:00:00"/>
    <x v="3"/>
    <n v="3795.64"/>
    <n v="206"/>
  </r>
  <r>
    <x v="0"/>
    <x v="5"/>
    <x v="14"/>
    <d v="2022-07-26T00:00:00"/>
    <x v="4"/>
    <n v="1004.71"/>
    <n v="21"/>
  </r>
  <r>
    <x v="8"/>
    <x v="4"/>
    <x v="8"/>
    <d v="2022-05-30T00:00:00"/>
    <x v="3"/>
    <n v="5575.62"/>
    <n v="371"/>
  </r>
  <r>
    <x v="2"/>
    <x v="3"/>
    <x v="11"/>
    <d v="2022-05-07T00:00:00"/>
    <x v="3"/>
    <n v="12563.44"/>
    <n v="420"/>
  </r>
  <r>
    <x v="2"/>
    <x v="5"/>
    <x v="3"/>
    <d v="2022-06-21T00:00:00"/>
    <x v="6"/>
    <n v="4983.24"/>
    <n v="143"/>
  </r>
  <r>
    <x v="3"/>
    <x v="3"/>
    <x v="2"/>
    <d v="2022-08-16T00:00:00"/>
    <x v="2"/>
    <n v="782.09"/>
    <n v="19"/>
  </r>
  <r>
    <x v="8"/>
    <x v="1"/>
    <x v="8"/>
    <d v="2022-08-17T00:00:00"/>
    <x v="2"/>
    <n v="17614.900000000001"/>
    <n v="3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Months">
  <location ref="A3:B12" firstHeaderRow="1" firstDataRow="1" firstDataCol="1"/>
  <pivotFields count="7">
    <pivotField showAll="0">
      <items count="11">
        <item x="2"/>
        <item x="7"/>
        <item x="1"/>
        <item x="4"/>
        <item x="8"/>
        <item x="0"/>
        <item x="9"/>
        <item x="5"/>
        <item x="6"/>
        <item x="3"/>
        <item t="default"/>
      </items>
    </pivotField>
    <pivotField showAll="0"/>
    <pivotField showAll="0">
      <items count="16">
        <item x="0"/>
        <item x="13"/>
        <item x="1"/>
        <item x="12"/>
        <item x="6"/>
        <item x="7"/>
        <item x="11"/>
        <item x="3"/>
        <item x="9"/>
        <item x="4"/>
        <item x="2"/>
        <item x="14"/>
        <item x="5"/>
        <item x="10"/>
        <item x="8"/>
        <item t="default"/>
      </items>
    </pivotField>
    <pivotField numFmtId="14" showAll="0"/>
    <pivotField axis="axisRow" showAll="0">
      <items count="9">
        <item x="1"/>
        <item x="5"/>
        <item x="7"/>
        <item x="0"/>
        <item x="3"/>
        <item x="6"/>
        <item x="4"/>
        <item x="2"/>
        <item t="default"/>
      </items>
    </pivotField>
    <pivotField dataField="1" showAll="0"/>
    <pivotField showAll="0"/>
  </pivotFields>
  <rowFields count="1">
    <field x="4"/>
  </rowFields>
  <rowItems count="9">
    <i>
      <x/>
    </i>
    <i>
      <x v="1"/>
    </i>
    <i>
      <x v="2"/>
    </i>
    <i>
      <x v="3"/>
    </i>
    <i>
      <x v="4"/>
    </i>
    <i>
      <x v="5"/>
    </i>
    <i>
      <x v="6"/>
    </i>
    <i>
      <x v="7"/>
    </i>
    <i t="grand">
      <x/>
    </i>
  </rowItems>
  <colItems count="1">
    <i/>
  </colItems>
  <dataFields count="1">
    <dataField name="Sales" fld="5" baseField="4" baseItem="0" numFmtId="172"/>
  </dataFields>
  <formats count="11">
    <format dxfId="11">
      <pivotArea type="all" dataOnly="0" outline="0" fieldPosition="0"/>
    </format>
    <format dxfId="12">
      <pivotArea outline="0" collapsedLevelsAreSubtotals="1" fieldPosition="0"/>
    </format>
    <format dxfId="13">
      <pivotArea field="4" type="button" dataOnly="0" labelOnly="1" outline="0" axis="axisRow" fieldPosition="0"/>
    </format>
    <format dxfId="14">
      <pivotArea dataOnly="0" labelOnly="1" fieldPosition="0">
        <references count="1">
          <reference field="4" count="0"/>
        </references>
      </pivotArea>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field="4" type="button" dataOnly="0" labelOnly="1" outline="0" axis="axisRow" fieldPosition="0"/>
    </format>
    <format dxfId="19">
      <pivotArea dataOnly="0" labelOnly="1" fieldPosition="0">
        <references count="1">
          <reference field="4" count="0"/>
        </references>
      </pivotArea>
    </format>
    <format dxfId="20">
      <pivotArea dataOnly="0" labelOnly="1" outline="0" axis="axisValues" fieldPosition="0"/>
    </format>
    <format dxfId="2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Country">
  <location ref="A3:B10" firstHeaderRow="1" firstDataRow="1" firstDataCol="1"/>
  <pivotFields count="7">
    <pivotField showAll="0">
      <items count="11">
        <item x="2"/>
        <item x="7"/>
        <item x="1"/>
        <item x="4"/>
        <item x="8"/>
        <item x="0"/>
        <item x="9"/>
        <item x="5"/>
        <item x="6"/>
        <item x="3"/>
        <item t="default"/>
      </items>
    </pivotField>
    <pivotField axis="axisRow" showAll="0">
      <items count="7">
        <item x="4"/>
        <item x="0"/>
        <item x="2"/>
        <item x="3"/>
        <item x="1"/>
        <item x="5"/>
        <item t="default"/>
      </items>
    </pivotField>
    <pivotField showAll="0">
      <items count="16">
        <item x="0"/>
        <item x="13"/>
        <item x="1"/>
        <item x="12"/>
        <item x="6"/>
        <item x="7"/>
        <item x="11"/>
        <item x="3"/>
        <item x="9"/>
        <item x="4"/>
        <item x="2"/>
        <item x="14"/>
        <item x="5"/>
        <item x="10"/>
        <item x="8"/>
        <item t="default"/>
      </items>
    </pivotField>
    <pivotField numFmtId="14" showAll="0"/>
    <pivotField showAll="0">
      <items count="9">
        <item x="1"/>
        <item x="5"/>
        <item x="7"/>
        <item x="0"/>
        <item x="3"/>
        <item x="6"/>
        <item x="4"/>
        <item x="2"/>
        <item t="default"/>
      </items>
    </pivotField>
    <pivotField dataField="1" showAll="0"/>
    <pivotField showAll="0"/>
  </pivotFields>
  <rowFields count="1">
    <field x="1"/>
  </rowFields>
  <rowItems count="7">
    <i>
      <x/>
    </i>
    <i>
      <x v="1"/>
    </i>
    <i>
      <x v="2"/>
    </i>
    <i>
      <x v="3"/>
    </i>
    <i>
      <x v="4"/>
    </i>
    <i>
      <x v="5"/>
    </i>
    <i t="grand">
      <x/>
    </i>
  </rowItems>
  <colItems count="1">
    <i/>
  </colItems>
  <dataFields count="1">
    <dataField name="Sales" fld="5" baseField="0" baseItem="0"/>
  </dataFields>
  <chartFormats count="1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4"/>
          </reference>
        </references>
      </pivotArea>
    </chartFormat>
    <chartFormat chart="6" format="2">
      <pivotArea type="data" outline="0" fieldPosition="0">
        <references count="2">
          <reference field="4294967294" count="1" selected="0">
            <x v="0"/>
          </reference>
          <reference field="1" count="1" selected="0">
            <x v="3"/>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1"/>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5"/>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1" count="1" selected="0">
            <x v="0"/>
          </reference>
        </references>
      </pivotArea>
    </chartFormat>
    <chartFormat chart="8" format="23">
      <pivotArea type="data" outline="0" fieldPosition="0">
        <references count="2">
          <reference field="4294967294" count="1" selected="0">
            <x v="0"/>
          </reference>
          <reference field="1" count="1" selected="0">
            <x v="1"/>
          </reference>
        </references>
      </pivotArea>
    </chartFormat>
    <chartFormat chart="8" format="24">
      <pivotArea type="data" outline="0" fieldPosition="0">
        <references count="2">
          <reference field="4294967294" count="1" selected="0">
            <x v="0"/>
          </reference>
          <reference field="1" count="1" selected="0">
            <x v="2"/>
          </reference>
        </references>
      </pivotArea>
    </chartFormat>
    <chartFormat chart="8" format="25">
      <pivotArea type="data" outline="0" fieldPosition="0">
        <references count="2">
          <reference field="4294967294" count="1" selected="0">
            <x v="0"/>
          </reference>
          <reference field="1" count="1" selected="0">
            <x v="3"/>
          </reference>
        </references>
      </pivotArea>
    </chartFormat>
    <chartFormat chart="8" format="26">
      <pivotArea type="data" outline="0" fieldPosition="0">
        <references count="2">
          <reference field="4294967294" count="1" selected="0">
            <x v="0"/>
          </reference>
          <reference field="1" count="1" selected="0">
            <x v="4"/>
          </reference>
        </references>
      </pivotArea>
    </chartFormat>
    <chartFormat chart="8" format="27">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nths">
  <location ref="A3:B12" firstHeaderRow="1" firstDataRow="1" firstDataCol="1"/>
  <pivotFields count="7">
    <pivotField showAll="0">
      <items count="11">
        <item x="2"/>
        <item x="7"/>
        <item x="1"/>
        <item x="4"/>
        <item x="8"/>
        <item x="0"/>
        <item x="9"/>
        <item x="5"/>
        <item x="6"/>
        <item x="3"/>
        <item t="default"/>
      </items>
    </pivotField>
    <pivotField showAll="0"/>
    <pivotField showAll="0">
      <items count="16">
        <item x="0"/>
        <item x="13"/>
        <item x="1"/>
        <item x="12"/>
        <item x="6"/>
        <item x="7"/>
        <item x="11"/>
        <item x="3"/>
        <item x="9"/>
        <item x="4"/>
        <item x="2"/>
        <item x="14"/>
        <item x="5"/>
        <item x="10"/>
        <item x="8"/>
        <item t="default"/>
      </items>
    </pivotField>
    <pivotField numFmtId="14" showAll="0"/>
    <pivotField axis="axisRow" showAll="0">
      <items count="9">
        <item x="1"/>
        <item x="5"/>
        <item x="7"/>
        <item x="0"/>
        <item x="3"/>
        <item x="6"/>
        <item x="4"/>
        <item x="2"/>
        <item t="default"/>
      </items>
    </pivotField>
    <pivotField showAll="0"/>
    <pivotField dataField="1" showAll="0"/>
  </pivotFields>
  <rowFields count="1">
    <field x="4"/>
  </rowFields>
  <rowItems count="9">
    <i>
      <x/>
    </i>
    <i>
      <x v="1"/>
    </i>
    <i>
      <x v="2"/>
    </i>
    <i>
      <x v="3"/>
    </i>
    <i>
      <x v="4"/>
    </i>
    <i>
      <x v="5"/>
    </i>
    <i>
      <x v="6"/>
    </i>
    <i>
      <x v="7"/>
    </i>
    <i t="grand">
      <x/>
    </i>
  </rowItems>
  <colItems count="1">
    <i/>
  </colItems>
  <dataFields count="1">
    <dataField name="Shipped Boxes" fld="6"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1"/>
          </reference>
        </references>
      </pivotArea>
    </chartFormat>
    <chartFormat chart="3" format="2">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Sales Person">
  <location ref="A3:B14" firstHeaderRow="1" firstDataRow="1" firstDataCol="1"/>
  <pivotFields count="7">
    <pivotField axis="axisRow" showAll="0">
      <items count="11">
        <item x="2"/>
        <item x="7"/>
        <item x="1"/>
        <item x="4"/>
        <item x="8"/>
        <item x="0"/>
        <item x="9"/>
        <item x="5"/>
        <item x="6"/>
        <item x="3"/>
        <item t="default"/>
      </items>
    </pivotField>
    <pivotField showAll="0"/>
    <pivotField showAll="0">
      <items count="16">
        <item x="0"/>
        <item x="13"/>
        <item x="1"/>
        <item x="12"/>
        <item x="6"/>
        <item x="7"/>
        <item x="11"/>
        <item x="3"/>
        <item x="9"/>
        <item x="4"/>
        <item x="2"/>
        <item x="14"/>
        <item x="5"/>
        <item x="10"/>
        <item x="8"/>
        <item t="default"/>
      </items>
    </pivotField>
    <pivotField numFmtId="14" showAll="0"/>
    <pivotField showAll="0">
      <items count="9">
        <item x="1"/>
        <item x="5"/>
        <item x="7"/>
        <item x="0"/>
        <item x="3"/>
        <item x="6"/>
        <item x="4"/>
        <item x="2"/>
        <item t="default"/>
      </items>
    </pivotField>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ales" fld="5" baseField="0" baseItem="0"/>
  </dataFields>
  <chartFormats count="2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9"/>
          </reference>
        </references>
      </pivotArea>
    </chartFormat>
    <chartFormat chart="9" format="2">
      <pivotArea type="data" outline="0" fieldPosition="0">
        <references count="2">
          <reference field="4294967294" count="1" selected="0">
            <x v="0"/>
          </reference>
          <reference field="0" count="1" selected="0">
            <x v="8"/>
          </reference>
        </references>
      </pivotArea>
    </chartFormat>
    <chartFormat chart="9" format="3">
      <pivotArea type="data" outline="0" fieldPosition="0">
        <references count="2">
          <reference field="4294967294" count="1" selected="0">
            <x v="0"/>
          </reference>
          <reference field="0" count="1" selected="0">
            <x v="7"/>
          </reference>
        </references>
      </pivotArea>
    </chartFormat>
    <chartFormat chart="9" format="4">
      <pivotArea type="data" outline="0" fieldPosition="0">
        <references count="2">
          <reference field="4294967294" count="1" selected="0">
            <x v="0"/>
          </reference>
          <reference field="0" count="1" selected="0">
            <x v="6"/>
          </reference>
        </references>
      </pivotArea>
    </chartFormat>
    <chartFormat chart="9" format="5">
      <pivotArea type="data" outline="0" fieldPosition="0">
        <references count="2">
          <reference field="4294967294" count="1" selected="0">
            <x v="0"/>
          </reference>
          <reference field="0" count="1" selected="0">
            <x v="5"/>
          </reference>
        </references>
      </pivotArea>
    </chartFormat>
    <chartFormat chart="9" format="6">
      <pivotArea type="data" outline="0" fieldPosition="0">
        <references count="2">
          <reference field="4294967294" count="1" selected="0">
            <x v="0"/>
          </reference>
          <reference field="0" count="1" selected="0">
            <x v="4"/>
          </reference>
        </references>
      </pivotArea>
    </chartFormat>
    <chartFormat chart="9" format="7">
      <pivotArea type="data" outline="0" fieldPosition="0">
        <references count="2">
          <reference field="4294967294" count="1" selected="0">
            <x v="0"/>
          </reference>
          <reference field="0" count="1" selected="0">
            <x v="3"/>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0" count="1" selected="0">
            <x v="0"/>
          </reference>
        </references>
      </pivotArea>
    </chartFormat>
    <chartFormat chart="11" format="24">
      <pivotArea type="data" outline="0" fieldPosition="0">
        <references count="2">
          <reference field="4294967294" count="1" selected="0">
            <x v="0"/>
          </reference>
          <reference field="0" count="1" selected="0">
            <x v="1"/>
          </reference>
        </references>
      </pivotArea>
    </chartFormat>
    <chartFormat chart="11" format="25">
      <pivotArea type="data" outline="0" fieldPosition="0">
        <references count="2">
          <reference field="4294967294" count="1" selected="0">
            <x v="0"/>
          </reference>
          <reference field="0" count="1" selected="0">
            <x v="2"/>
          </reference>
        </references>
      </pivotArea>
    </chartFormat>
    <chartFormat chart="11" format="26">
      <pivotArea type="data" outline="0" fieldPosition="0">
        <references count="2">
          <reference field="4294967294" count="1" selected="0">
            <x v="0"/>
          </reference>
          <reference field="0" count="1" selected="0">
            <x v="3"/>
          </reference>
        </references>
      </pivotArea>
    </chartFormat>
    <chartFormat chart="11" format="27">
      <pivotArea type="data" outline="0" fieldPosition="0">
        <references count="2">
          <reference field="4294967294" count="1" selected="0">
            <x v="0"/>
          </reference>
          <reference field="0" count="1" selected="0">
            <x v="4"/>
          </reference>
        </references>
      </pivotArea>
    </chartFormat>
    <chartFormat chart="11" format="28">
      <pivotArea type="data" outline="0" fieldPosition="0">
        <references count="2">
          <reference field="4294967294" count="1" selected="0">
            <x v="0"/>
          </reference>
          <reference field="0" count="1" selected="0">
            <x v="5"/>
          </reference>
        </references>
      </pivotArea>
    </chartFormat>
    <chartFormat chart="11" format="29">
      <pivotArea type="data" outline="0" fieldPosition="0">
        <references count="2">
          <reference field="4294967294" count="1" selected="0">
            <x v="0"/>
          </reference>
          <reference field="0" count="1" selected="0">
            <x v="6"/>
          </reference>
        </references>
      </pivotArea>
    </chartFormat>
    <chartFormat chart="11" format="30">
      <pivotArea type="data" outline="0" fieldPosition="0">
        <references count="2">
          <reference field="4294967294" count="1" selected="0">
            <x v="0"/>
          </reference>
          <reference field="0" count="1" selected="0">
            <x v="7"/>
          </reference>
        </references>
      </pivotArea>
    </chartFormat>
    <chartFormat chart="11" format="31">
      <pivotArea type="data" outline="0" fieldPosition="0">
        <references count="2">
          <reference field="4294967294" count="1" selected="0">
            <x v="0"/>
          </reference>
          <reference field="0" count="1" selected="0">
            <x v="8"/>
          </reference>
        </references>
      </pivotArea>
    </chartFormat>
    <chartFormat chart="11" format="32">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0000000-0013-0000-FFFF-FFFF01000000}" sourceName="Sales Person">
  <pivotTables>
    <pivotTable tabId="2" name="PivotTable1"/>
    <pivotTable tabId="5" name="PivotTable3"/>
    <pivotTable tabId="4" name="PivotTable2"/>
    <pivotTable tabId="6" name="PivotTable4"/>
  </pivotTables>
  <data>
    <tabular pivotCacheId="894024466">
      <items count="10">
        <i x="2" s="1"/>
        <i x="7" s="1"/>
        <i x="1" s="1"/>
        <i x="4" s="1"/>
        <i x="8" s="1"/>
        <i x="0" s="1"/>
        <i x="9"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2" name="PivotTable1"/>
    <pivotTable tabId="5" name="PivotTable3"/>
    <pivotTable tabId="4" name="PivotTable2"/>
    <pivotTable tabId="6" name="PivotTable4"/>
  </pivotTables>
  <data>
    <tabular pivotCacheId="894024466">
      <items count="15">
        <i x="0" s="1"/>
        <i x="13" s="1"/>
        <i x="1" s="1"/>
        <i x="12" s="1"/>
        <i x="6" s="1"/>
        <i x="7" s="1"/>
        <i x="11" s="1"/>
        <i x="3" s="1"/>
        <i x="9" s="1"/>
        <i x="4" s="1"/>
        <i x="2" s="1"/>
        <i x="14" s="1"/>
        <i x="5"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2" name="PivotTable1"/>
    <pivotTable tabId="5" name="PivotTable3"/>
    <pivotTable tabId="4" name="PivotTable2"/>
    <pivotTable tabId="6" name="PivotTable4"/>
  </pivotTables>
  <data>
    <tabular pivotCacheId="894024466">
      <items count="8">
        <i x="1" s="1"/>
        <i x="5" s="1"/>
        <i x="7" s="1"/>
        <i x="0" s="1"/>
        <i x="3" s="1"/>
        <i x="6"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0000000-0014-0000-FFFF-FFFF01000000}" cache="Slicer_Sales_Person" caption="Sales Person" rowHeight="241300"/>
  <slicer name="Product" xr10:uid="{00000000-0014-0000-FFFF-FFFF02000000}" cache="Slicer_Product" caption="Product" rowHeight="241300"/>
  <slicer name="Month" xr10:uid="{00000000-0014-0000-FFFF-FFFF03000000}" cache="Slicer_Month" caption="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
  <sheetViews>
    <sheetView zoomScale="85" zoomScaleNormal="85" workbookViewId="0">
      <selection activeCell="W6" sqref="W6"/>
    </sheetView>
  </sheetViews>
  <sheetFormatPr defaultRowHeight="14.5" x14ac:dyDescent="0.35"/>
  <cols>
    <col min="22" max="22" width="6.453125" customWidth="1"/>
  </cols>
  <sheetData>
    <row r="1" spans="1:22" x14ac:dyDescent="0.35">
      <c r="A1" s="7" t="s">
        <v>50</v>
      </c>
      <c r="B1" s="8"/>
      <c r="C1" s="8"/>
      <c r="D1" s="8"/>
      <c r="E1" s="8"/>
      <c r="F1" s="8"/>
      <c r="G1" s="8"/>
      <c r="H1" s="8"/>
      <c r="I1" s="8"/>
      <c r="J1" s="8"/>
      <c r="K1" s="8"/>
      <c r="L1" s="8"/>
      <c r="M1" s="8"/>
      <c r="N1" s="8"/>
      <c r="O1" s="8"/>
      <c r="P1" s="8"/>
      <c r="Q1" s="8"/>
      <c r="R1" s="8"/>
      <c r="S1" s="8"/>
      <c r="T1" s="8"/>
      <c r="U1" s="8"/>
      <c r="V1" s="8"/>
    </row>
    <row r="2" spans="1:22" ht="15" thickBot="1" x14ac:dyDescent="0.4">
      <c r="A2" s="8"/>
      <c r="B2" s="8"/>
      <c r="C2" s="8"/>
      <c r="D2" s="8"/>
      <c r="E2" s="8"/>
      <c r="F2" s="8"/>
      <c r="G2" s="8"/>
      <c r="H2" s="8"/>
      <c r="I2" s="8"/>
      <c r="J2" s="8"/>
      <c r="K2" s="8"/>
      <c r="L2" s="8"/>
      <c r="M2" s="8"/>
      <c r="N2" s="8"/>
      <c r="O2" s="8"/>
      <c r="P2" s="8"/>
      <c r="Q2" s="8"/>
      <c r="R2" s="8"/>
      <c r="S2" s="8"/>
      <c r="T2" s="8"/>
      <c r="U2" s="8"/>
      <c r="V2" s="8"/>
    </row>
    <row r="3" spans="1:22" x14ac:dyDescent="0.35">
      <c r="A3" s="9"/>
      <c r="B3" s="10"/>
      <c r="C3" s="10"/>
      <c r="D3" s="10"/>
      <c r="E3" s="10"/>
      <c r="F3" s="10"/>
      <c r="G3" s="10"/>
      <c r="H3" s="10"/>
      <c r="I3" s="10"/>
      <c r="J3" s="10"/>
      <c r="K3" s="10"/>
      <c r="L3" s="10"/>
      <c r="M3" s="10"/>
      <c r="N3" s="10"/>
      <c r="O3" s="10"/>
      <c r="P3" s="10"/>
      <c r="Q3" s="10"/>
      <c r="R3" s="10"/>
      <c r="S3" s="10"/>
      <c r="T3" s="10"/>
      <c r="U3" s="10"/>
      <c r="V3" s="11"/>
    </row>
    <row r="4" spans="1:22" x14ac:dyDescent="0.35">
      <c r="A4" s="12"/>
      <c r="B4" s="13"/>
      <c r="C4" s="13"/>
      <c r="D4" s="13"/>
      <c r="E4" s="13"/>
      <c r="F4" s="13"/>
      <c r="G4" s="13"/>
      <c r="H4" s="13"/>
      <c r="I4" s="13"/>
      <c r="J4" s="13"/>
      <c r="K4" s="13"/>
      <c r="L4" s="13"/>
      <c r="M4" s="13"/>
      <c r="N4" s="13"/>
      <c r="O4" s="13"/>
      <c r="P4" s="13"/>
      <c r="Q4" s="13"/>
      <c r="R4" s="13"/>
      <c r="S4" s="13"/>
      <c r="T4" s="13"/>
      <c r="U4" s="13"/>
      <c r="V4" s="14"/>
    </row>
    <row r="5" spans="1:22" x14ac:dyDescent="0.35">
      <c r="A5" s="12"/>
      <c r="B5" s="13"/>
      <c r="C5" s="13"/>
      <c r="D5" s="13"/>
      <c r="E5" s="13"/>
      <c r="F5" s="13"/>
      <c r="G5" s="13"/>
      <c r="H5" s="13"/>
      <c r="I5" s="13"/>
      <c r="J5" s="13"/>
      <c r="K5" s="13"/>
      <c r="L5" s="13"/>
      <c r="M5" s="13"/>
      <c r="N5" s="13"/>
      <c r="O5" s="13"/>
      <c r="P5" s="13"/>
      <c r="Q5" s="13"/>
      <c r="R5" s="13"/>
      <c r="S5" s="13"/>
      <c r="T5" s="13"/>
      <c r="U5" s="13"/>
      <c r="V5" s="14"/>
    </row>
    <row r="6" spans="1:22" x14ac:dyDescent="0.35">
      <c r="A6" s="12"/>
      <c r="B6" s="13"/>
      <c r="C6" s="13"/>
      <c r="D6" s="13"/>
      <c r="E6" s="13"/>
      <c r="F6" s="13"/>
      <c r="G6" s="13"/>
      <c r="H6" s="13"/>
      <c r="I6" s="13"/>
      <c r="J6" s="13"/>
      <c r="K6" s="13"/>
      <c r="L6" s="13"/>
      <c r="M6" s="13"/>
      <c r="N6" s="13"/>
      <c r="O6" s="13"/>
      <c r="P6" s="13"/>
      <c r="Q6" s="13"/>
      <c r="R6" s="13"/>
      <c r="S6" s="13"/>
      <c r="T6" s="13"/>
      <c r="U6" s="13"/>
      <c r="V6" s="14"/>
    </row>
    <row r="7" spans="1:22" x14ac:dyDescent="0.35">
      <c r="A7" s="12"/>
      <c r="B7" s="13"/>
      <c r="C7" s="13"/>
      <c r="D7" s="13"/>
      <c r="E7" s="13"/>
      <c r="F7" s="13"/>
      <c r="G7" s="13"/>
      <c r="H7" s="13"/>
      <c r="I7" s="13"/>
      <c r="J7" s="13"/>
      <c r="K7" s="13"/>
      <c r="L7" s="13"/>
      <c r="M7" s="13"/>
      <c r="N7" s="13"/>
      <c r="O7" s="13"/>
      <c r="P7" s="13"/>
      <c r="Q7" s="13"/>
      <c r="R7" s="13"/>
      <c r="S7" s="13"/>
      <c r="T7" s="13"/>
      <c r="U7" s="13"/>
      <c r="V7" s="14"/>
    </row>
    <row r="8" spans="1:22" x14ac:dyDescent="0.35">
      <c r="A8" s="12"/>
      <c r="B8" s="13"/>
      <c r="C8" s="13"/>
      <c r="D8" s="13"/>
      <c r="E8" s="13"/>
      <c r="F8" s="13"/>
      <c r="G8" s="13"/>
      <c r="H8" s="13"/>
      <c r="I8" s="13"/>
      <c r="J8" s="13"/>
      <c r="K8" s="13"/>
      <c r="L8" s="13"/>
      <c r="M8" s="13"/>
      <c r="N8" s="13"/>
      <c r="O8" s="13"/>
      <c r="P8" s="13"/>
      <c r="Q8" s="13"/>
      <c r="R8" s="13"/>
      <c r="S8" s="13"/>
      <c r="T8" s="13"/>
      <c r="U8" s="13"/>
      <c r="V8" s="14"/>
    </row>
    <row r="9" spans="1:22" x14ac:dyDescent="0.35">
      <c r="A9" s="12"/>
      <c r="B9" s="13"/>
      <c r="C9" s="13"/>
      <c r="D9" s="13"/>
      <c r="E9" s="13"/>
      <c r="F9" s="13"/>
      <c r="G9" s="13"/>
      <c r="H9" s="13"/>
      <c r="I9" s="13"/>
      <c r="J9" s="13"/>
      <c r="K9" s="13"/>
      <c r="L9" s="13"/>
      <c r="M9" s="13"/>
      <c r="N9" s="13"/>
      <c r="O9" s="13"/>
      <c r="P9" s="13"/>
      <c r="Q9" s="13"/>
      <c r="R9" s="13"/>
      <c r="S9" s="13"/>
      <c r="T9" s="13"/>
      <c r="U9" s="13"/>
      <c r="V9" s="14"/>
    </row>
    <row r="10" spans="1:22" x14ac:dyDescent="0.35">
      <c r="A10" s="12"/>
      <c r="B10" s="13"/>
      <c r="C10" s="13"/>
      <c r="D10" s="13"/>
      <c r="E10" s="13"/>
      <c r="F10" s="13"/>
      <c r="G10" s="13"/>
      <c r="H10" s="13"/>
      <c r="I10" s="13"/>
      <c r="J10" s="13"/>
      <c r="K10" s="13"/>
      <c r="L10" s="13"/>
      <c r="M10" s="13"/>
      <c r="N10" s="13"/>
      <c r="O10" s="13"/>
      <c r="P10" s="13"/>
      <c r="Q10" s="13"/>
      <c r="R10" s="13"/>
      <c r="S10" s="13"/>
      <c r="T10" s="13"/>
      <c r="U10" s="13"/>
      <c r="V10" s="14"/>
    </row>
    <row r="11" spans="1:22" x14ac:dyDescent="0.35">
      <c r="A11" s="12"/>
      <c r="B11" s="13"/>
      <c r="C11" s="13"/>
      <c r="D11" s="13"/>
      <c r="E11" s="13"/>
      <c r="F11" s="13"/>
      <c r="G11" s="13"/>
      <c r="H11" s="13"/>
      <c r="I11" s="13"/>
      <c r="J11" s="13"/>
      <c r="K11" s="13"/>
      <c r="L11" s="13"/>
      <c r="M11" s="13"/>
      <c r="N11" s="13"/>
      <c r="O11" s="13"/>
      <c r="P11" s="13"/>
      <c r="Q11" s="13"/>
      <c r="R11" s="13"/>
      <c r="S11" s="13"/>
      <c r="T11" s="13"/>
      <c r="U11" s="13"/>
      <c r="V11" s="14"/>
    </row>
    <row r="12" spans="1:22" x14ac:dyDescent="0.35">
      <c r="A12" s="12"/>
      <c r="B12" s="13"/>
      <c r="C12" s="13"/>
      <c r="D12" s="13"/>
      <c r="E12" s="13"/>
      <c r="F12" s="13"/>
      <c r="G12" s="13"/>
      <c r="H12" s="13"/>
      <c r="I12" s="13"/>
      <c r="J12" s="13"/>
      <c r="K12" s="13"/>
      <c r="L12" s="13"/>
      <c r="M12" s="13"/>
      <c r="N12" s="13"/>
      <c r="O12" s="13"/>
      <c r="P12" s="13"/>
      <c r="Q12" s="13"/>
      <c r="R12" s="13"/>
      <c r="S12" s="13"/>
      <c r="T12" s="13"/>
      <c r="U12" s="13"/>
      <c r="V12" s="14"/>
    </row>
    <row r="13" spans="1:22" x14ac:dyDescent="0.35">
      <c r="A13" s="12"/>
      <c r="B13" s="13"/>
      <c r="C13" s="13"/>
      <c r="D13" s="13"/>
      <c r="E13" s="13"/>
      <c r="F13" s="13"/>
      <c r="G13" s="13"/>
      <c r="H13" s="13"/>
      <c r="I13" s="13"/>
      <c r="J13" s="13"/>
      <c r="K13" s="13"/>
      <c r="L13" s="13"/>
      <c r="M13" s="13"/>
      <c r="N13" s="13"/>
      <c r="O13" s="13"/>
      <c r="P13" s="13"/>
      <c r="Q13" s="13"/>
      <c r="R13" s="13"/>
      <c r="S13" s="13"/>
      <c r="T13" s="13"/>
      <c r="U13" s="13"/>
      <c r="V13" s="14"/>
    </row>
    <row r="14" spans="1:22" x14ac:dyDescent="0.35">
      <c r="A14" s="12"/>
      <c r="B14" s="13"/>
      <c r="C14" s="13"/>
      <c r="D14" s="13"/>
      <c r="E14" s="13"/>
      <c r="F14" s="13"/>
      <c r="G14" s="13"/>
      <c r="H14" s="13"/>
      <c r="I14" s="13"/>
      <c r="J14" s="13"/>
      <c r="K14" s="13"/>
      <c r="L14" s="13"/>
      <c r="M14" s="13"/>
      <c r="N14" s="13"/>
      <c r="O14" s="13"/>
      <c r="P14" s="13"/>
      <c r="Q14" s="13"/>
      <c r="R14" s="13"/>
      <c r="S14" s="13"/>
      <c r="T14" s="13"/>
      <c r="U14" s="13"/>
      <c r="V14" s="14"/>
    </row>
    <row r="15" spans="1:22" x14ac:dyDescent="0.35">
      <c r="A15" s="12"/>
      <c r="B15" s="13"/>
      <c r="C15" s="13"/>
      <c r="D15" s="13"/>
      <c r="E15" s="13"/>
      <c r="F15" s="13"/>
      <c r="G15" s="13"/>
      <c r="H15" s="13"/>
      <c r="I15" s="13"/>
      <c r="J15" s="13"/>
      <c r="K15" s="13"/>
      <c r="L15" s="13"/>
      <c r="M15" s="13"/>
      <c r="N15" s="13"/>
      <c r="O15" s="13"/>
      <c r="P15" s="13"/>
      <c r="Q15" s="13"/>
      <c r="R15" s="13"/>
      <c r="S15" s="13"/>
      <c r="T15" s="13"/>
      <c r="U15" s="13"/>
      <c r="V15" s="14"/>
    </row>
    <row r="16" spans="1:22" x14ac:dyDescent="0.35">
      <c r="A16" s="12"/>
      <c r="B16" s="13"/>
      <c r="C16" s="13"/>
      <c r="D16" s="13"/>
      <c r="E16" s="13"/>
      <c r="F16" s="13"/>
      <c r="G16" s="13"/>
      <c r="H16" s="13"/>
      <c r="I16" s="13"/>
      <c r="J16" s="13"/>
      <c r="K16" s="13"/>
      <c r="L16" s="13"/>
      <c r="M16" s="13"/>
      <c r="N16" s="13"/>
      <c r="O16" s="13"/>
      <c r="P16" s="13"/>
      <c r="Q16" s="13"/>
      <c r="R16" s="13"/>
      <c r="S16" s="13"/>
      <c r="T16" s="13"/>
      <c r="U16" s="13"/>
      <c r="V16" s="14"/>
    </row>
    <row r="17" spans="1:22" x14ac:dyDescent="0.35">
      <c r="A17" s="12"/>
      <c r="B17" s="13"/>
      <c r="C17" s="13"/>
      <c r="D17" s="13"/>
      <c r="E17" s="13"/>
      <c r="F17" s="13"/>
      <c r="G17" s="13"/>
      <c r="H17" s="13"/>
      <c r="I17" s="13"/>
      <c r="J17" s="13"/>
      <c r="K17" s="13"/>
      <c r="L17" s="13"/>
      <c r="M17" s="13"/>
      <c r="N17" s="13"/>
      <c r="O17" s="13"/>
      <c r="P17" s="13"/>
      <c r="Q17" s="13"/>
      <c r="R17" s="13"/>
      <c r="S17" s="13"/>
      <c r="T17" s="13"/>
      <c r="U17" s="13"/>
      <c r="V17" s="14"/>
    </row>
    <row r="18" spans="1:22" x14ac:dyDescent="0.35">
      <c r="A18" s="12"/>
      <c r="B18" s="13"/>
      <c r="C18" s="13"/>
      <c r="D18" s="13"/>
      <c r="E18" s="13"/>
      <c r="F18" s="13"/>
      <c r="G18" s="13"/>
      <c r="H18" s="13"/>
      <c r="I18" s="13"/>
      <c r="J18" s="13"/>
      <c r="K18" s="13"/>
      <c r="L18" s="13"/>
      <c r="M18" s="13"/>
      <c r="N18" s="13"/>
      <c r="O18" s="13"/>
      <c r="P18" s="13"/>
      <c r="Q18" s="13"/>
      <c r="R18" s="13"/>
      <c r="S18" s="13"/>
      <c r="T18" s="13"/>
      <c r="U18" s="13"/>
      <c r="V18" s="14"/>
    </row>
    <row r="19" spans="1:22" x14ac:dyDescent="0.35">
      <c r="A19" s="12"/>
      <c r="B19" s="13"/>
      <c r="C19" s="13"/>
      <c r="D19" s="13"/>
      <c r="E19" s="13"/>
      <c r="F19" s="13"/>
      <c r="G19" s="13"/>
      <c r="H19" s="13"/>
      <c r="I19" s="13"/>
      <c r="J19" s="13"/>
      <c r="K19" s="13"/>
      <c r="L19" s="13"/>
      <c r="M19" s="13"/>
      <c r="N19" s="13"/>
      <c r="O19" s="13"/>
      <c r="P19" s="13"/>
      <c r="Q19" s="13"/>
      <c r="R19" s="13"/>
      <c r="S19" s="13"/>
      <c r="T19" s="13"/>
      <c r="U19" s="13"/>
      <c r="V19" s="14"/>
    </row>
    <row r="20" spans="1:22" x14ac:dyDescent="0.35">
      <c r="A20" s="12"/>
      <c r="B20" s="13"/>
      <c r="C20" s="13"/>
      <c r="D20" s="13"/>
      <c r="E20" s="13"/>
      <c r="F20" s="13"/>
      <c r="G20" s="13"/>
      <c r="H20" s="13"/>
      <c r="I20" s="13"/>
      <c r="J20" s="13"/>
      <c r="K20" s="13"/>
      <c r="L20" s="13"/>
      <c r="M20" s="13"/>
      <c r="N20" s="13"/>
      <c r="O20" s="13"/>
      <c r="P20" s="13"/>
      <c r="Q20" s="13"/>
      <c r="R20" s="13"/>
      <c r="S20" s="13"/>
      <c r="T20" s="13"/>
      <c r="U20" s="13"/>
      <c r="V20" s="14"/>
    </row>
    <row r="21" spans="1:22" x14ac:dyDescent="0.35">
      <c r="A21" s="12"/>
      <c r="B21" s="13"/>
      <c r="C21" s="13"/>
      <c r="D21" s="13"/>
      <c r="E21" s="13"/>
      <c r="F21" s="13"/>
      <c r="G21" s="13"/>
      <c r="H21" s="13"/>
      <c r="I21" s="13"/>
      <c r="J21" s="13"/>
      <c r="K21" s="13"/>
      <c r="L21" s="13"/>
      <c r="M21" s="13"/>
      <c r="N21" s="13"/>
      <c r="O21" s="13"/>
      <c r="P21" s="13"/>
      <c r="Q21" s="13"/>
      <c r="R21" s="13"/>
      <c r="S21" s="13"/>
      <c r="T21" s="13"/>
      <c r="U21" s="13"/>
      <c r="V21" s="14"/>
    </row>
    <row r="22" spans="1:22" x14ac:dyDescent="0.35">
      <c r="A22" s="12"/>
      <c r="B22" s="13"/>
      <c r="C22" s="13"/>
      <c r="D22" s="13"/>
      <c r="E22" s="13"/>
      <c r="F22" s="13"/>
      <c r="G22" s="13"/>
      <c r="H22" s="13"/>
      <c r="I22" s="13"/>
      <c r="J22" s="13"/>
      <c r="K22" s="13"/>
      <c r="L22" s="13"/>
      <c r="M22" s="13"/>
      <c r="N22" s="13"/>
      <c r="O22" s="13"/>
      <c r="P22" s="13"/>
      <c r="Q22" s="13"/>
      <c r="R22" s="13"/>
      <c r="S22" s="13"/>
      <c r="T22" s="13"/>
      <c r="U22" s="13"/>
      <c r="V22" s="14"/>
    </row>
    <row r="23" spans="1:22" x14ac:dyDescent="0.35">
      <c r="A23" s="12"/>
      <c r="B23" s="13"/>
      <c r="C23" s="13"/>
      <c r="D23" s="13"/>
      <c r="E23" s="13"/>
      <c r="F23" s="13"/>
      <c r="G23" s="13"/>
      <c r="H23" s="13"/>
      <c r="I23" s="13"/>
      <c r="J23" s="13"/>
      <c r="K23" s="13"/>
      <c r="L23" s="13"/>
      <c r="M23" s="13"/>
      <c r="N23" s="13"/>
      <c r="O23" s="13"/>
      <c r="P23" s="13"/>
      <c r="Q23" s="13"/>
      <c r="R23" s="13"/>
      <c r="S23" s="13"/>
      <c r="T23" s="13"/>
      <c r="U23" s="13"/>
      <c r="V23" s="14"/>
    </row>
    <row r="24" spans="1:22" x14ac:dyDescent="0.35">
      <c r="A24" s="12"/>
      <c r="B24" s="13"/>
      <c r="C24" s="13"/>
      <c r="D24" s="13"/>
      <c r="E24" s="13"/>
      <c r="F24" s="13"/>
      <c r="G24" s="13"/>
      <c r="H24" s="13"/>
      <c r="I24" s="13"/>
      <c r="J24" s="13"/>
      <c r="K24" s="13"/>
      <c r="L24" s="13"/>
      <c r="M24" s="13"/>
      <c r="N24" s="13"/>
      <c r="O24" s="13"/>
      <c r="P24" s="13"/>
      <c r="Q24" s="13"/>
      <c r="R24" s="13"/>
      <c r="S24" s="13"/>
      <c r="T24" s="13"/>
      <c r="U24" s="13"/>
      <c r="V24" s="14"/>
    </row>
    <row r="25" spans="1:22" x14ac:dyDescent="0.35">
      <c r="A25" s="12"/>
      <c r="B25" s="13"/>
      <c r="C25" s="13"/>
      <c r="D25" s="13"/>
      <c r="E25" s="13"/>
      <c r="F25" s="13"/>
      <c r="G25" s="13"/>
      <c r="H25" s="13"/>
      <c r="I25" s="13"/>
      <c r="J25" s="13"/>
      <c r="K25" s="13"/>
      <c r="L25" s="13"/>
      <c r="M25" s="13"/>
      <c r="N25" s="13"/>
      <c r="O25" s="13"/>
      <c r="P25" s="13"/>
      <c r="Q25" s="13"/>
      <c r="R25" s="13"/>
      <c r="S25" s="13"/>
      <c r="T25" s="13"/>
      <c r="U25" s="13"/>
      <c r="V25" s="14"/>
    </row>
    <row r="26" spans="1:22" x14ac:dyDescent="0.35">
      <c r="A26" s="12"/>
      <c r="B26" s="13"/>
      <c r="C26" s="13"/>
      <c r="D26" s="13"/>
      <c r="E26" s="13"/>
      <c r="F26" s="13"/>
      <c r="G26" s="13"/>
      <c r="H26" s="13"/>
      <c r="I26" s="13"/>
      <c r="J26" s="13"/>
      <c r="K26" s="13"/>
      <c r="L26" s="13"/>
      <c r="M26" s="13"/>
      <c r="N26" s="13"/>
      <c r="O26" s="13"/>
      <c r="P26" s="13"/>
      <c r="Q26" s="13"/>
      <c r="R26" s="13"/>
      <c r="S26" s="13"/>
      <c r="T26" s="13"/>
      <c r="U26" s="13"/>
      <c r="V26" s="14"/>
    </row>
    <row r="27" spans="1:22" x14ac:dyDescent="0.35">
      <c r="A27" s="12"/>
      <c r="B27" s="13"/>
      <c r="C27" s="13"/>
      <c r="D27" s="13"/>
      <c r="E27" s="13"/>
      <c r="F27" s="13"/>
      <c r="G27" s="13"/>
      <c r="H27" s="13"/>
      <c r="I27" s="13"/>
      <c r="J27" s="13"/>
      <c r="K27" s="13"/>
      <c r="L27" s="13"/>
      <c r="M27" s="13"/>
      <c r="N27" s="13"/>
      <c r="O27" s="13"/>
      <c r="P27" s="13"/>
      <c r="Q27" s="13"/>
      <c r="R27" s="13"/>
      <c r="S27" s="13"/>
      <c r="T27" s="13"/>
      <c r="U27" s="13"/>
      <c r="V27" s="14"/>
    </row>
    <row r="28" spans="1:22" x14ac:dyDescent="0.35">
      <c r="A28" s="12"/>
      <c r="B28" s="13"/>
      <c r="C28" s="13"/>
      <c r="D28" s="13"/>
      <c r="E28" s="13"/>
      <c r="F28" s="13"/>
      <c r="G28" s="13"/>
      <c r="H28" s="13"/>
      <c r="I28" s="13"/>
      <c r="J28" s="13"/>
      <c r="K28" s="13"/>
      <c r="L28" s="13"/>
      <c r="M28" s="13"/>
      <c r="N28" s="13"/>
      <c r="O28" s="13"/>
      <c r="P28" s="13"/>
      <c r="Q28" s="13"/>
      <c r="R28" s="13"/>
      <c r="S28" s="13"/>
      <c r="T28" s="13"/>
      <c r="U28" s="13"/>
      <c r="V28" s="14"/>
    </row>
    <row r="29" spans="1:22" x14ac:dyDescent="0.35">
      <c r="A29" s="12"/>
      <c r="B29" s="13"/>
      <c r="C29" s="13"/>
      <c r="D29" s="13"/>
      <c r="E29" s="13"/>
      <c r="F29" s="13"/>
      <c r="G29" s="13"/>
      <c r="H29" s="13"/>
      <c r="I29" s="13"/>
      <c r="J29" s="13"/>
      <c r="K29" s="13"/>
      <c r="L29" s="13"/>
      <c r="M29" s="13"/>
      <c r="N29" s="13"/>
      <c r="O29" s="13"/>
      <c r="P29" s="13"/>
      <c r="Q29" s="13"/>
      <c r="R29" s="13"/>
      <c r="S29" s="13"/>
      <c r="T29" s="13"/>
      <c r="U29" s="13"/>
      <c r="V29" s="14"/>
    </row>
    <row r="30" spans="1:22" x14ac:dyDescent="0.35">
      <c r="A30" s="12"/>
      <c r="B30" s="13"/>
      <c r="C30" s="13"/>
      <c r="D30" s="13"/>
      <c r="E30" s="13"/>
      <c r="F30" s="13"/>
      <c r="G30" s="13"/>
      <c r="H30" s="13"/>
      <c r="I30" s="13"/>
      <c r="J30" s="13"/>
      <c r="K30" s="13"/>
      <c r="L30" s="13"/>
      <c r="M30" s="13"/>
      <c r="N30" s="13"/>
      <c r="O30" s="13"/>
      <c r="P30" s="13"/>
      <c r="Q30" s="13"/>
      <c r="R30" s="13"/>
      <c r="S30" s="13"/>
      <c r="T30" s="13"/>
      <c r="U30" s="13"/>
      <c r="V30" s="14"/>
    </row>
    <row r="31" spans="1:22" x14ac:dyDescent="0.35">
      <c r="A31" s="12"/>
      <c r="B31" s="13"/>
      <c r="C31" s="13"/>
      <c r="D31" s="13"/>
      <c r="E31" s="13"/>
      <c r="F31" s="13"/>
      <c r="G31" s="13"/>
      <c r="H31" s="13"/>
      <c r="I31" s="13"/>
      <c r="J31" s="13"/>
      <c r="K31" s="13"/>
      <c r="L31" s="13"/>
      <c r="M31" s="13"/>
      <c r="N31" s="13"/>
      <c r="O31" s="13"/>
      <c r="P31" s="13"/>
      <c r="Q31" s="13"/>
      <c r="R31" s="13"/>
      <c r="S31" s="13"/>
      <c r="T31" s="13"/>
      <c r="U31" s="13"/>
      <c r="V31" s="14"/>
    </row>
    <row r="32" spans="1:22" x14ac:dyDescent="0.35">
      <c r="A32" s="12"/>
      <c r="B32" s="13"/>
      <c r="C32" s="13"/>
      <c r="D32" s="13"/>
      <c r="E32" s="13"/>
      <c r="F32" s="13"/>
      <c r="G32" s="13"/>
      <c r="H32" s="13"/>
      <c r="I32" s="13"/>
      <c r="J32" s="13"/>
      <c r="K32" s="13"/>
      <c r="L32" s="13"/>
      <c r="M32" s="13"/>
      <c r="N32" s="13"/>
      <c r="O32" s="13"/>
      <c r="P32" s="13"/>
      <c r="Q32" s="13"/>
      <c r="R32" s="13"/>
      <c r="S32" s="13"/>
      <c r="T32" s="13"/>
      <c r="U32" s="13"/>
      <c r="V32" s="14"/>
    </row>
    <row r="33" spans="1:22" x14ac:dyDescent="0.35">
      <c r="A33" s="12"/>
      <c r="B33" s="13"/>
      <c r="C33" s="13"/>
      <c r="D33" s="13"/>
      <c r="E33" s="13"/>
      <c r="F33" s="13"/>
      <c r="G33" s="13"/>
      <c r="H33" s="13"/>
      <c r="I33" s="13"/>
      <c r="J33" s="13"/>
      <c r="K33" s="13"/>
      <c r="L33" s="13"/>
      <c r="M33" s="13"/>
      <c r="N33" s="13"/>
      <c r="O33" s="13"/>
      <c r="P33" s="13"/>
      <c r="Q33" s="13"/>
      <c r="R33" s="13"/>
      <c r="S33" s="13"/>
      <c r="T33" s="13"/>
      <c r="U33" s="13"/>
      <c r="V33" s="14"/>
    </row>
    <row r="34" spans="1:22" x14ac:dyDescent="0.35">
      <c r="A34" s="12"/>
      <c r="B34" s="13"/>
      <c r="C34" s="13"/>
      <c r="D34" s="13"/>
      <c r="E34" s="13"/>
      <c r="F34" s="13"/>
      <c r="G34" s="13"/>
      <c r="H34" s="13"/>
      <c r="I34" s="13"/>
      <c r="J34" s="13"/>
      <c r="K34" s="13"/>
      <c r="L34" s="13"/>
      <c r="M34" s="13"/>
      <c r="N34" s="13"/>
      <c r="O34" s="13"/>
      <c r="P34" s="13"/>
      <c r="Q34" s="13"/>
      <c r="R34" s="13"/>
      <c r="S34" s="13"/>
      <c r="T34" s="13"/>
      <c r="U34" s="13"/>
      <c r="V34" s="14"/>
    </row>
    <row r="35" spans="1:22" x14ac:dyDescent="0.35">
      <c r="A35" s="12"/>
      <c r="B35" s="13"/>
      <c r="C35" s="13"/>
      <c r="D35" s="13"/>
      <c r="E35" s="13"/>
      <c r="F35" s="13"/>
      <c r="G35" s="13"/>
      <c r="H35" s="13"/>
      <c r="I35" s="13"/>
      <c r="J35" s="13"/>
      <c r="K35" s="13"/>
      <c r="L35" s="13"/>
      <c r="M35" s="13"/>
      <c r="N35" s="13"/>
      <c r="O35" s="13"/>
      <c r="P35" s="13"/>
      <c r="Q35" s="13"/>
      <c r="R35" s="13"/>
      <c r="S35" s="13"/>
      <c r="T35" s="13"/>
      <c r="U35" s="13"/>
      <c r="V35" s="14"/>
    </row>
    <row r="36" spans="1:22" x14ac:dyDescent="0.35">
      <c r="A36" s="12"/>
      <c r="B36" s="13"/>
      <c r="C36" s="13"/>
      <c r="D36" s="13"/>
      <c r="E36" s="13"/>
      <c r="F36" s="13"/>
      <c r="G36" s="13"/>
      <c r="H36" s="13"/>
      <c r="I36" s="13"/>
      <c r="J36" s="13"/>
      <c r="K36" s="13"/>
      <c r="L36" s="13"/>
      <c r="M36" s="13"/>
      <c r="N36" s="13"/>
      <c r="O36" s="13"/>
      <c r="P36" s="13"/>
      <c r="Q36" s="13"/>
      <c r="R36" s="13"/>
      <c r="S36" s="13"/>
      <c r="T36" s="13"/>
      <c r="U36" s="13"/>
      <c r="V36" s="14"/>
    </row>
    <row r="37" spans="1:22" x14ac:dyDescent="0.35">
      <c r="A37" s="12"/>
      <c r="B37" s="13"/>
      <c r="C37" s="13"/>
      <c r="D37" s="13"/>
      <c r="E37" s="13"/>
      <c r="F37" s="13"/>
      <c r="G37" s="13"/>
      <c r="H37" s="13"/>
      <c r="I37" s="13"/>
      <c r="J37" s="13"/>
      <c r="K37" s="13"/>
      <c r="L37" s="13"/>
      <c r="M37" s="13"/>
      <c r="N37" s="13"/>
      <c r="O37" s="13"/>
      <c r="P37" s="13"/>
      <c r="Q37" s="13"/>
      <c r="R37" s="13"/>
      <c r="S37" s="13"/>
      <c r="T37" s="13"/>
      <c r="U37" s="13"/>
      <c r="V37" s="14"/>
    </row>
    <row r="38" spans="1:22" x14ac:dyDescent="0.35">
      <c r="A38" s="12"/>
      <c r="B38" s="13"/>
      <c r="C38" s="13"/>
      <c r="D38" s="13"/>
      <c r="E38" s="13"/>
      <c r="F38" s="13"/>
      <c r="G38" s="13"/>
      <c r="H38" s="13"/>
      <c r="I38" s="13"/>
      <c r="J38" s="13"/>
      <c r="K38" s="13"/>
      <c r="L38" s="13"/>
      <c r="M38" s="13"/>
      <c r="N38" s="13"/>
      <c r="O38" s="13"/>
      <c r="P38" s="13"/>
      <c r="Q38" s="13"/>
      <c r="R38" s="13"/>
      <c r="S38" s="13"/>
      <c r="T38" s="13"/>
      <c r="U38" s="13"/>
      <c r="V38" s="14"/>
    </row>
    <row r="39" spans="1:22" ht="15" thickBot="1" x14ac:dyDescent="0.4">
      <c r="A39" s="15"/>
      <c r="B39" s="16"/>
      <c r="C39" s="16"/>
      <c r="D39" s="16"/>
      <c r="E39" s="16"/>
      <c r="F39" s="16"/>
      <c r="G39" s="16"/>
      <c r="H39" s="16"/>
      <c r="I39" s="16"/>
      <c r="J39" s="16"/>
      <c r="K39" s="16"/>
      <c r="L39" s="16"/>
      <c r="M39" s="16"/>
      <c r="N39" s="16"/>
      <c r="O39" s="16"/>
      <c r="P39" s="16"/>
      <c r="Q39" s="16"/>
      <c r="R39" s="16"/>
      <c r="S39" s="16"/>
      <c r="T39" s="16"/>
      <c r="U39" s="16"/>
      <c r="V39" s="17"/>
    </row>
  </sheetData>
  <mergeCells count="2">
    <mergeCell ref="A1:V2"/>
    <mergeCell ref="A3:V3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3"/>
  <sheetViews>
    <sheetView tabSelected="1" workbookViewId="0">
      <selection activeCell="B16" sqref="B16"/>
    </sheetView>
  </sheetViews>
  <sheetFormatPr defaultRowHeight="14.5" x14ac:dyDescent="0.35"/>
  <cols>
    <col min="1" max="1" width="11.90625" bestFit="1" customWidth="1"/>
    <col min="2" max="2" width="11.1796875" bestFit="1" customWidth="1"/>
  </cols>
  <sheetData>
    <row r="3" spans="1:2" x14ac:dyDescent="0.35">
      <c r="A3" s="6" t="s">
        <v>48</v>
      </c>
      <c r="B3" s="1" t="s">
        <v>47</v>
      </c>
    </row>
    <row r="4" spans="1:2" x14ac:dyDescent="0.35">
      <c r="A4" s="1" t="s">
        <v>38</v>
      </c>
      <c r="B4" s="19">
        <v>359762.51000000007</v>
      </c>
    </row>
    <row r="5" spans="1:2" x14ac:dyDescent="0.35">
      <c r="A5" s="1" t="s">
        <v>39</v>
      </c>
      <c r="B5" s="19">
        <v>214024.56000000003</v>
      </c>
    </row>
    <row r="6" spans="1:2" x14ac:dyDescent="0.35">
      <c r="A6" s="1" t="s">
        <v>40</v>
      </c>
      <c r="B6" s="19">
        <v>484101.58999999991</v>
      </c>
    </row>
    <row r="7" spans="1:2" x14ac:dyDescent="0.35">
      <c r="A7" s="1" t="s">
        <v>41</v>
      </c>
      <c r="B7" s="19">
        <v>452650.04000000004</v>
      </c>
    </row>
    <row r="8" spans="1:2" x14ac:dyDescent="0.35">
      <c r="A8" s="1" t="s">
        <v>42</v>
      </c>
      <c r="B8" s="19">
        <v>396609.08999999997</v>
      </c>
    </row>
    <row r="9" spans="1:2" x14ac:dyDescent="0.35">
      <c r="A9" s="1" t="s">
        <v>43</v>
      </c>
      <c r="B9" s="19">
        <v>367001.64999999997</v>
      </c>
    </row>
    <row r="10" spans="1:2" x14ac:dyDescent="0.35">
      <c r="A10" s="1" t="s">
        <v>44</v>
      </c>
      <c r="B10" s="19">
        <v>359655.72999999992</v>
      </c>
    </row>
    <row r="11" spans="1:2" x14ac:dyDescent="0.35">
      <c r="A11" s="1" t="s">
        <v>45</v>
      </c>
      <c r="B11" s="19">
        <v>275298.94999999995</v>
      </c>
    </row>
    <row r="12" spans="1:2" x14ac:dyDescent="0.35">
      <c r="A12" s="1" t="s">
        <v>46</v>
      </c>
      <c r="B12" s="19">
        <v>2909104.12</v>
      </c>
    </row>
    <row r="13" spans="1:2" x14ac:dyDescent="0.35">
      <c r="B13" s="18"/>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0"/>
  <sheetViews>
    <sheetView workbookViewId="0">
      <selection activeCell="L19" sqref="L19"/>
    </sheetView>
  </sheetViews>
  <sheetFormatPr defaultRowHeight="14.5" x14ac:dyDescent="0.35"/>
  <cols>
    <col min="1" max="1" width="11.54296875" bestFit="1" customWidth="1"/>
    <col min="2" max="2" width="10.81640625" bestFit="1" customWidth="1"/>
  </cols>
  <sheetData>
    <row r="3" spans="1:2" x14ac:dyDescent="0.35">
      <c r="A3" s="3" t="s">
        <v>1</v>
      </c>
      <c r="B3" t="s">
        <v>47</v>
      </c>
    </row>
    <row r="4" spans="1:2" x14ac:dyDescent="0.35">
      <c r="A4" s="4" t="s">
        <v>23</v>
      </c>
      <c r="B4" s="5">
        <v>505497.64</v>
      </c>
    </row>
    <row r="5" spans="1:2" x14ac:dyDescent="0.35">
      <c r="A5" s="4" t="s">
        <v>7</v>
      </c>
      <c r="B5" s="5">
        <v>374562.30999999994</v>
      </c>
    </row>
    <row r="6" spans="1:2" x14ac:dyDescent="0.35">
      <c r="A6" s="4" t="s">
        <v>12</v>
      </c>
      <c r="B6" s="5">
        <v>346434.91999999993</v>
      </c>
    </row>
    <row r="7" spans="1:2" x14ac:dyDescent="0.35">
      <c r="A7" s="4" t="s">
        <v>14</v>
      </c>
      <c r="B7" s="5">
        <v>557059.84999999986</v>
      </c>
    </row>
    <row r="8" spans="1:2" x14ac:dyDescent="0.35">
      <c r="A8" s="4" t="s">
        <v>10</v>
      </c>
      <c r="B8" s="5">
        <v>497061.54000000004</v>
      </c>
    </row>
    <row r="9" spans="1:2" x14ac:dyDescent="0.35">
      <c r="A9" s="4" t="s">
        <v>24</v>
      </c>
      <c r="B9" s="5">
        <v>628487.85999999975</v>
      </c>
    </row>
    <row r="10" spans="1:2" x14ac:dyDescent="0.35">
      <c r="A10" s="4" t="s">
        <v>46</v>
      </c>
      <c r="B10" s="5">
        <v>2909104.1199999996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2"/>
  <sheetViews>
    <sheetView workbookViewId="0">
      <selection sqref="A1:V2"/>
    </sheetView>
  </sheetViews>
  <sheetFormatPr defaultRowHeight="14.5" x14ac:dyDescent="0.35"/>
  <cols>
    <col min="1" max="1" width="10.7265625" bestFit="1" customWidth="1"/>
    <col min="2" max="2" width="13" bestFit="1" customWidth="1"/>
  </cols>
  <sheetData>
    <row r="3" spans="1:2" x14ac:dyDescent="0.35">
      <c r="A3" s="3" t="s">
        <v>48</v>
      </c>
      <c r="B3" t="s">
        <v>49</v>
      </c>
    </row>
    <row r="4" spans="1:2" x14ac:dyDescent="0.35">
      <c r="A4" s="4" t="s">
        <v>38</v>
      </c>
      <c r="B4" s="5">
        <v>11795</v>
      </c>
    </row>
    <row r="5" spans="1:2" x14ac:dyDescent="0.35">
      <c r="A5" s="4" t="s">
        <v>39</v>
      </c>
      <c r="B5" s="5">
        <v>6963</v>
      </c>
    </row>
    <row r="6" spans="1:2" x14ac:dyDescent="0.35">
      <c r="A6" s="4" t="s">
        <v>40</v>
      </c>
      <c r="B6" s="5">
        <v>15167</v>
      </c>
    </row>
    <row r="7" spans="1:2" x14ac:dyDescent="0.35">
      <c r="A7" s="4" t="s">
        <v>41</v>
      </c>
      <c r="B7" s="5">
        <v>14483</v>
      </c>
    </row>
    <row r="8" spans="1:2" x14ac:dyDescent="0.35">
      <c r="A8" s="4" t="s">
        <v>42</v>
      </c>
      <c r="B8" s="5">
        <v>12583</v>
      </c>
    </row>
    <row r="9" spans="1:2" x14ac:dyDescent="0.35">
      <c r="A9" s="4" t="s">
        <v>43</v>
      </c>
      <c r="B9" s="5">
        <v>11536</v>
      </c>
    </row>
    <row r="10" spans="1:2" x14ac:dyDescent="0.35">
      <c r="A10" s="4" t="s">
        <v>44</v>
      </c>
      <c r="B10" s="5">
        <v>10852</v>
      </c>
    </row>
    <row r="11" spans="1:2" x14ac:dyDescent="0.35">
      <c r="A11" s="4" t="s">
        <v>45</v>
      </c>
      <c r="B11" s="5">
        <v>9774</v>
      </c>
    </row>
    <row r="12" spans="1:2" x14ac:dyDescent="0.35">
      <c r="A12" s="4" t="s">
        <v>46</v>
      </c>
      <c r="B12" s="5">
        <v>93153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4"/>
  <sheetViews>
    <sheetView workbookViewId="0">
      <selection activeCell="B5" sqref="B5"/>
    </sheetView>
  </sheetViews>
  <sheetFormatPr defaultRowHeight="14.5" x14ac:dyDescent="0.35"/>
  <cols>
    <col min="1" max="1" width="13.54296875" bestFit="1" customWidth="1"/>
    <col min="2" max="2" width="10.81640625" bestFit="1" customWidth="1"/>
  </cols>
  <sheetData>
    <row r="3" spans="1:2" x14ac:dyDescent="0.35">
      <c r="A3" s="3" t="s">
        <v>0</v>
      </c>
      <c r="B3" t="s">
        <v>47</v>
      </c>
    </row>
    <row r="4" spans="1:2" x14ac:dyDescent="0.35">
      <c r="A4" s="4" t="s">
        <v>11</v>
      </c>
      <c r="B4" s="5">
        <v>293204.6700000001</v>
      </c>
    </row>
    <row r="5" spans="1:2" x14ac:dyDescent="0.35">
      <c r="A5" s="4" t="s">
        <v>26</v>
      </c>
      <c r="B5" s="5">
        <v>246174.27999999997</v>
      </c>
    </row>
    <row r="6" spans="1:2" x14ac:dyDescent="0.35">
      <c r="A6" s="4" t="s">
        <v>9</v>
      </c>
      <c r="B6" s="5">
        <v>298595.61</v>
      </c>
    </row>
    <row r="7" spans="1:2" x14ac:dyDescent="0.35">
      <c r="A7" s="4" t="s">
        <v>20</v>
      </c>
      <c r="B7" s="5">
        <v>302087.59999999998</v>
      </c>
    </row>
    <row r="8" spans="1:2" x14ac:dyDescent="0.35">
      <c r="A8" s="4" t="s">
        <v>28</v>
      </c>
      <c r="B8" s="5">
        <v>270960.55000000005</v>
      </c>
    </row>
    <row r="9" spans="1:2" x14ac:dyDescent="0.35">
      <c r="A9" s="4" t="s">
        <v>6</v>
      </c>
      <c r="B9" s="5">
        <v>295166.91000000009</v>
      </c>
    </row>
    <row r="10" spans="1:2" x14ac:dyDescent="0.35">
      <c r="A10" s="4" t="s">
        <v>34</v>
      </c>
      <c r="B10" s="5">
        <v>223432.68999999994</v>
      </c>
    </row>
    <row r="11" spans="1:2" x14ac:dyDescent="0.35">
      <c r="A11" s="4" t="s">
        <v>21</v>
      </c>
      <c r="B11" s="5">
        <v>272188.08</v>
      </c>
    </row>
    <row r="12" spans="1:2" x14ac:dyDescent="0.35">
      <c r="A12" s="4" t="s">
        <v>22</v>
      </c>
      <c r="B12" s="5">
        <v>387405.90999999992</v>
      </c>
    </row>
    <row r="13" spans="1:2" x14ac:dyDescent="0.35">
      <c r="A13" s="4" t="s">
        <v>16</v>
      </c>
      <c r="B13" s="5">
        <v>319887.82</v>
      </c>
    </row>
    <row r="14" spans="1:2" x14ac:dyDescent="0.35">
      <c r="A14" s="4" t="s">
        <v>46</v>
      </c>
      <c r="B14" s="5">
        <v>2909104.1199999996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G375"/>
  <sheetViews>
    <sheetView workbookViewId="0">
      <selection activeCell="F3" sqref="F3:F345"/>
    </sheetView>
  </sheetViews>
  <sheetFormatPr defaultRowHeight="14.5" x14ac:dyDescent="0.35"/>
  <cols>
    <col min="1" max="1" width="13.08984375" style="1" bestFit="1" customWidth="1"/>
    <col min="2" max="2" width="11.54296875" style="1" bestFit="1" customWidth="1"/>
    <col min="3" max="3" width="19.08984375" style="1" bestFit="1" customWidth="1"/>
    <col min="4" max="4" width="10.6328125" style="1" customWidth="1"/>
    <col min="5" max="5" width="9.453125" style="1" customWidth="1"/>
    <col min="6" max="6" width="14.81640625" style="1" bestFit="1" customWidth="1"/>
    <col min="7" max="7" width="17.54296875" style="1" bestFit="1" customWidth="1"/>
  </cols>
  <sheetData>
    <row r="1" spans="1:7" x14ac:dyDescent="0.35">
      <c r="A1" s="1" t="s">
        <v>0</v>
      </c>
      <c r="B1" s="1" t="s">
        <v>1</v>
      </c>
      <c r="C1" s="1" t="s">
        <v>2</v>
      </c>
      <c r="D1" s="1" t="s">
        <v>3</v>
      </c>
      <c r="E1" s="1" t="s">
        <v>37</v>
      </c>
      <c r="F1" s="1" t="s">
        <v>4</v>
      </c>
      <c r="G1" s="1" t="s">
        <v>5</v>
      </c>
    </row>
    <row r="2" spans="1:7" hidden="1" x14ac:dyDescent="0.35">
      <c r="A2" s="1" t="s">
        <v>6</v>
      </c>
      <c r="B2" s="1" t="s">
        <v>7</v>
      </c>
      <c r="C2" s="1" t="s">
        <v>8</v>
      </c>
      <c r="D2" s="2">
        <v>44681</v>
      </c>
      <c r="E2" s="2" t="str">
        <f>TEXT(D2, "mmm")</f>
        <v>Apr</v>
      </c>
      <c r="F2" s="1">
        <v>7897.13</v>
      </c>
      <c r="G2" s="1">
        <v>358</v>
      </c>
    </row>
    <row r="3" spans="1:7" x14ac:dyDescent="0.35">
      <c r="A3" s="1" t="s">
        <v>9</v>
      </c>
      <c r="B3" s="1" t="s">
        <v>10</v>
      </c>
      <c r="C3" s="1" t="s">
        <v>8</v>
      </c>
      <c r="D3" s="2">
        <v>44586</v>
      </c>
      <c r="E3" s="2" t="str">
        <f t="shared" ref="E3:E66" si="0">TEXT(D3, "mmm")</f>
        <v>Jan</v>
      </c>
      <c r="F3" s="1">
        <v>16376.88</v>
      </c>
      <c r="G3" s="1">
        <v>449</v>
      </c>
    </row>
    <row r="4" spans="1:7" hidden="1" x14ac:dyDescent="0.35">
      <c r="A4" s="1" t="s">
        <v>11</v>
      </c>
      <c r="B4" s="1" t="s">
        <v>12</v>
      </c>
      <c r="C4" s="1" t="s">
        <v>13</v>
      </c>
      <c r="D4" s="2">
        <v>44795</v>
      </c>
      <c r="E4" s="2" t="str">
        <f t="shared" si="0"/>
        <v>Aug</v>
      </c>
      <c r="F4" s="1">
        <v>5599.68</v>
      </c>
      <c r="G4" s="1">
        <v>264</v>
      </c>
    </row>
    <row r="5" spans="1:7" hidden="1" x14ac:dyDescent="0.35">
      <c r="A5" s="1" t="s">
        <v>11</v>
      </c>
      <c r="B5" s="1" t="s">
        <v>14</v>
      </c>
      <c r="C5" s="1" t="s">
        <v>15</v>
      </c>
      <c r="D5" s="2">
        <v>44799</v>
      </c>
      <c r="E5" s="2" t="str">
        <f t="shared" si="0"/>
        <v>Aug</v>
      </c>
      <c r="F5" s="1">
        <v>2966.47</v>
      </c>
      <c r="G5" s="1">
        <v>144</v>
      </c>
    </row>
    <row r="6" spans="1:7" hidden="1" x14ac:dyDescent="0.35">
      <c r="A6" s="1" t="s">
        <v>16</v>
      </c>
      <c r="B6" s="1" t="s">
        <v>10</v>
      </c>
      <c r="C6" s="1" t="s">
        <v>13</v>
      </c>
      <c r="D6" s="2">
        <v>44700</v>
      </c>
      <c r="E6" s="2" t="str">
        <f t="shared" si="0"/>
        <v>May</v>
      </c>
      <c r="F6" s="1">
        <v>6828.68</v>
      </c>
      <c r="G6" s="1">
        <v>484</v>
      </c>
    </row>
    <row r="7" spans="1:7" hidden="1" x14ac:dyDescent="0.35">
      <c r="A7" s="1" t="s">
        <v>11</v>
      </c>
      <c r="B7" s="1" t="s">
        <v>10</v>
      </c>
      <c r="C7" s="1" t="s">
        <v>17</v>
      </c>
      <c r="D7" s="2">
        <v>44800</v>
      </c>
      <c r="E7" s="2" t="str">
        <f t="shared" si="0"/>
        <v>Aug</v>
      </c>
      <c r="F7" s="1">
        <v>2555.9499999999998</v>
      </c>
      <c r="G7" s="1">
        <v>192</v>
      </c>
    </row>
    <row r="8" spans="1:7" hidden="1" x14ac:dyDescent="0.35">
      <c r="A8" s="1" t="s">
        <v>11</v>
      </c>
      <c r="B8" s="1" t="s">
        <v>14</v>
      </c>
      <c r="C8" s="1" t="s">
        <v>18</v>
      </c>
      <c r="D8" s="2">
        <v>44680</v>
      </c>
      <c r="E8" s="2" t="str">
        <f t="shared" si="0"/>
        <v>Apr</v>
      </c>
      <c r="F8" s="1">
        <v>832.92</v>
      </c>
      <c r="G8" s="1">
        <v>19</v>
      </c>
    </row>
    <row r="9" spans="1:7" hidden="1" x14ac:dyDescent="0.35">
      <c r="A9" s="1" t="s">
        <v>16</v>
      </c>
      <c r="B9" s="1" t="s">
        <v>14</v>
      </c>
      <c r="C9" s="1" t="s">
        <v>19</v>
      </c>
      <c r="D9" s="2">
        <v>44757</v>
      </c>
      <c r="E9" s="2" t="str">
        <f t="shared" si="0"/>
        <v>Jul</v>
      </c>
      <c r="F9" s="1">
        <v>997.96</v>
      </c>
      <c r="G9" s="1">
        <v>36</v>
      </c>
    </row>
    <row r="10" spans="1:7" hidden="1" x14ac:dyDescent="0.35">
      <c r="A10" s="1" t="s">
        <v>20</v>
      </c>
      <c r="B10" s="1" t="s">
        <v>14</v>
      </c>
      <c r="C10" s="1" t="s">
        <v>17</v>
      </c>
      <c r="D10" s="2">
        <v>44596</v>
      </c>
      <c r="E10" s="2" t="str">
        <f t="shared" si="0"/>
        <v>Feb</v>
      </c>
      <c r="F10" s="1">
        <v>7754.36</v>
      </c>
      <c r="G10" s="1">
        <v>466</v>
      </c>
    </row>
    <row r="11" spans="1:7" hidden="1" x14ac:dyDescent="0.35">
      <c r="A11" s="1" t="s">
        <v>21</v>
      </c>
      <c r="B11" s="1" t="s">
        <v>12</v>
      </c>
      <c r="C11" s="1" t="s">
        <v>8</v>
      </c>
      <c r="D11" s="2">
        <v>44697</v>
      </c>
      <c r="E11" s="2" t="str">
        <f t="shared" si="0"/>
        <v>May</v>
      </c>
      <c r="F11" s="1">
        <v>5507.19</v>
      </c>
      <c r="G11" s="1">
        <v>176</v>
      </c>
    </row>
    <row r="12" spans="1:7" hidden="1" x14ac:dyDescent="0.35">
      <c r="A12" s="1" t="s">
        <v>22</v>
      </c>
      <c r="B12" s="1" t="s">
        <v>23</v>
      </c>
      <c r="C12" s="1" t="s">
        <v>13</v>
      </c>
      <c r="D12" s="2">
        <v>44588</v>
      </c>
      <c r="E12" s="2" t="str">
        <f t="shared" si="0"/>
        <v>Jan</v>
      </c>
      <c r="F12" s="1">
        <v>1119.6600000000001</v>
      </c>
      <c r="G12" s="1">
        <v>87</v>
      </c>
    </row>
    <row r="13" spans="1:7" hidden="1" x14ac:dyDescent="0.35">
      <c r="A13" s="1" t="s">
        <v>16</v>
      </c>
      <c r="B13" s="1" t="s">
        <v>24</v>
      </c>
      <c r="C13" s="1" t="s">
        <v>25</v>
      </c>
      <c r="D13" s="2">
        <v>44714</v>
      </c>
      <c r="E13" s="2" t="str">
        <f t="shared" si="0"/>
        <v>Jun</v>
      </c>
      <c r="F13" s="1">
        <v>6853.59</v>
      </c>
      <c r="G13" s="1">
        <v>384</v>
      </c>
    </row>
    <row r="14" spans="1:7" hidden="1" x14ac:dyDescent="0.35">
      <c r="A14" s="1" t="s">
        <v>26</v>
      </c>
      <c r="B14" s="1" t="s">
        <v>24</v>
      </c>
      <c r="C14" s="1" t="s">
        <v>27</v>
      </c>
      <c r="D14" s="2">
        <v>44657</v>
      </c>
      <c r="E14" s="2" t="str">
        <f t="shared" si="0"/>
        <v>Apr</v>
      </c>
      <c r="F14" s="1">
        <v>12147.98</v>
      </c>
      <c r="G14" s="1">
        <v>254</v>
      </c>
    </row>
    <row r="15" spans="1:7" hidden="1" x14ac:dyDescent="0.35">
      <c r="A15" s="1" t="s">
        <v>6</v>
      </c>
      <c r="B15" s="1" t="s">
        <v>14</v>
      </c>
      <c r="C15" s="1" t="s">
        <v>8</v>
      </c>
      <c r="D15" s="2">
        <v>44768</v>
      </c>
      <c r="E15" s="2" t="str">
        <f t="shared" si="0"/>
        <v>Jul</v>
      </c>
      <c r="F15" s="1">
        <v>923.46</v>
      </c>
      <c r="G15" s="1">
        <v>79</v>
      </c>
    </row>
    <row r="16" spans="1:7" hidden="1" x14ac:dyDescent="0.35">
      <c r="A16" s="1" t="s">
        <v>26</v>
      </c>
      <c r="B16" s="1" t="s">
        <v>7</v>
      </c>
      <c r="C16" s="1" t="s">
        <v>15</v>
      </c>
      <c r="D16" s="2">
        <v>44571</v>
      </c>
      <c r="E16" s="2" t="str">
        <f t="shared" si="0"/>
        <v>Jan</v>
      </c>
      <c r="F16" s="1">
        <v>442.07</v>
      </c>
      <c r="G16" s="1">
        <v>24</v>
      </c>
    </row>
    <row r="17" spans="1:7" hidden="1" x14ac:dyDescent="0.35">
      <c r="A17" s="1" t="s">
        <v>28</v>
      </c>
      <c r="B17" s="1" t="s">
        <v>7</v>
      </c>
      <c r="C17" s="1" t="s">
        <v>8</v>
      </c>
      <c r="D17" s="2">
        <v>44565</v>
      </c>
      <c r="E17" s="2" t="str">
        <f t="shared" si="0"/>
        <v>Jan</v>
      </c>
      <c r="F17" s="1">
        <v>3900.37</v>
      </c>
      <c r="G17" s="1">
        <v>83</v>
      </c>
    </row>
    <row r="18" spans="1:7" hidden="1" x14ac:dyDescent="0.35">
      <c r="A18" s="1" t="s">
        <v>26</v>
      </c>
      <c r="B18" s="1" t="s">
        <v>14</v>
      </c>
      <c r="C18" s="1" t="s">
        <v>13</v>
      </c>
      <c r="D18" s="2">
        <v>44714</v>
      </c>
      <c r="E18" s="2" t="str">
        <f t="shared" si="0"/>
        <v>Jun</v>
      </c>
      <c r="F18" s="1">
        <v>801.63</v>
      </c>
      <c r="G18" s="1">
        <v>25</v>
      </c>
    </row>
    <row r="19" spans="1:7" hidden="1" x14ac:dyDescent="0.35">
      <c r="A19" s="1" t="s">
        <v>20</v>
      </c>
      <c r="B19" s="1" t="s">
        <v>12</v>
      </c>
      <c r="C19" s="1" t="s">
        <v>8</v>
      </c>
      <c r="D19" s="2">
        <v>44623</v>
      </c>
      <c r="E19" s="2" t="str">
        <f t="shared" si="0"/>
        <v>Mar</v>
      </c>
      <c r="F19" s="1">
        <v>10101.780000000001</v>
      </c>
      <c r="G19" s="1">
        <v>251</v>
      </c>
    </row>
    <row r="20" spans="1:7" hidden="1" x14ac:dyDescent="0.35">
      <c r="A20" s="1" t="s">
        <v>16</v>
      </c>
      <c r="B20" s="1" t="s">
        <v>7</v>
      </c>
      <c r="C20" s="1" t="s">
        <v>29</v>
      </c>
      <c r="D20" s="2">
        <v>44710</v>
      </c>
      <c r="E20" s="2" t="str">
        <f t="shared" si="0"/>
        <v>May</v>
      </c>
      <c r="F20" s="1">
        <v>6600.15</v>
      </c>
      <c r="G20" s="1">
        <v>417</v>
      </c>
    </row>
    <row r="21" spans="1:7" hidden="1" x14ac:dyDescent="0.35">
      <c r="A21" s="1" t="s">
        <v>6</v>
      </c>
      <c r="B21" s="1" t="s">
        <v>24</v>
      </c>
      <c r="C21" s="1" t="s">
        <v>30</v>
      </c>
      <c r="D21" s="2">
        <v>44709</v>
      </c>
      <c r="E21" s="2" t="str">
        <f t="shared" si="0"/>
        <v>May</v>
      </c>
      <c r="F21" s="1">
        <v>5302.98</v>
      </c>
      <c r="G21" s="1">
        <v>258</v>
      </c>
    </row>
    <row r="22" spans="1:7" hidden="1" x14ac:dyDescent="0.35">
      <c r="A22" s="1" t="s">
        <v>21</v>
      </c>
      <c r="B22" s="1" t="s">
        <v>10</v>
      </c>
      <c r="C22" s="1" t="s">
        <v>31</v>
      </c>
      <c r="D22" s="2">
        <v>44775</v>
      </c>
      <c r="E22" s="2" t="str">
        <f t="shared" si="0"/>
        <v>Aug</v>
      </c>
      <c r="F22" s="1">
        <v>6310.09</v>
      </c>
      <c r="G22" s="1">
        <v>257</v>
      </c>
    </row>
    <row r="23" spans="1:7" hidden="1" x14ac:dyDescent="0.35">
      <c r="A23" s="1" t="s">
        <v>21</v>
      </c>
      <c r="B23" s="1" t="s">
        <v>7</v>
      </c>
      <c r="C23" s="1" t="s">
        <v>32</v>
      </c>
      <c r="D23" s="2">
        <v>44759</v>
      </c>
      <c r="E23" s="2" t="str">
        <f t="shared" si="0"/>
        <v>Jul</v>
      </c>
      <c r="F23" s="1">
        <v>2369.1799999999998</v>
      </c>
      <c r="G23" s="1">
        <v>211</v>
      </c>
    </row>
    <row r="24" spans="1:7" hidden="1" x14ac:dyDescent="0.35">
      <c r="A24" s="1" t="s">
        <v>16</v>
      </c>
      <c r="B24" s="1" t="s">
        <v>10</v>
      </c>
      <c r="C24" s="1" t="s">
        <v>8</v>
      </c>
      <c r="D24" s="2">
        <v>44695</v>
      </c>
      <c r="E24" s="2" t="str">
        <f t="shared" si="0"/>
        <v>May</v>
      </c>
      <c r="F24" s="1">
        <v>16418.97</v>
      </c>
      <c r="G24" s="1">
        <v>358</v>
      </c>
    </row>
    <row r="25" spans="1:7" hidden="1" x14ac:dyDescent="0.35">
      <c r="A25" s="1" t="s">
        <v>22</v>
      </c>
      <c r="B25" s="1" t="s">
        <v>14</v>
      </c>
      <c r="C25" s="1" t="s">
        <v>29</v>
      </c>
      <c r="D25" s="2">
        <v>44576</v>
      </c>
      <c r="E25" s="2" t="str">
        <f t="shared" si="0"/>
        <v>Jan</v>
      </c>
      <c r="F25" s="1">
        <v>10774.83</v>
      </c>
      <c r="G25" s="1">
        <v>226</v>
      </c>
    </row>
    <row r="26" spans="1:7" hidden="1" x14ac:dyDescent="0.35">
      <c r="A26" s="1" t="s">
        <v>16</v>
      </c>
      <c r="B26" s="1" t="s">
        <v>23</v>
      </c>
      <c r="C26" s="1" t="s">
        <v>30</v>
      </c>
      <c r="D26" s="2">
        <v>44664</v>
      </c>
      <c r="E26" s="2" t="str">
        <f t="shared" si="0"/>
        <v>Apr</v>
      </c>
      <c r="F26" s="1">
        <v>5958.48</v>
      </c>
      <c r="G26" s="1">
        <v>162</v>
      </c>
    </row>
    <row r="27" spans="1:7" hidden="1" x14ac:dyDescent="0.35">
      <c r="A27" s="1" t="s">
        <v>22</v>
      </c>
      <c r="B27" s="1" t="s">
        <v>24</v>
      </c>
      <c r="C27" s="1" t="s">
        <v>19</v>
      </c>
      <c r="D27" s="2">
        <v>44764</v>
      </c>
      <c r="E27" s="2" t="str">
        <f t="shared" si="0"/>
        <v>Jul</v>
      </c>
      <c r="F27" s="1">
        <v>1194.96</v>
      </c>
      <c r="G27" s="1">
        <v>74</v>
      </c>
    </row>
    <row r="28" spans="1:7" hidden="1" x14ac:dyDescent="0.35">
      <c r="A28" s="1" t="s">
        <v>20</v>
      </c>
      <c r="B28" s="1" t="s">
        <v>23</v>
      </c>
      <c r="C28" s="1" t="s">
        <v>33</v>
      </c>
      <c r="D28" s="2">
        <v>44662</v>
      </c>
      <c r="E28" s="2" t="str">
        <f t="shared" si="0"/>
        <v>Apr</v>
      </c>
      <c r="F28" s="1">
        <v>314.68</v>
      </c>
      <c r="G28" s="1">
        <v>18</v>
      </c>
    </row>
    <row r="29" spans="1:7" hidden="1" x14ac:dyDescent="0.35">
      <c r="A29" s="1" t="s">
        <v>34</v>
      </c>
      <c r="B29" s="1" t="s">
        <v>23</v>
      </c>
      <c r="C29" s="1" t="s">
        <v>35</v>
      </c>
      <c r="D29" s="2">
        <v>44730</v>
      </c>
      <c r="E29" s="2" t="str">
        <f t="shared" si="0"/>
        <v>Jun</v>
      </c>
      <c r="F29" s="1">
        <v>1442.65</v>
      </c>
      <c r="G29" s="1">
        <v>91</v>
      </c>
    </row>
    <row r="30" spans="1:7" hidden="1" x14ac:dyDescent="0.35">
      <c r="A30" s="1" t="s">
        <v>28</v>
      </c>
      <c r="B30" s="1" t="s">
        <v>24</v>
      </c>
      <c r="C30" s="1" t="s">
        <v>31</v>
      </c>
      <c r="D30" s="2">
        <v>44724</v>
      </c>
      <c r="E30" s="2" t="str">
        <f t="shared" si="0"/>
        <v>Jun</v>
      </c>
      <c r="F30" s="1">
        <v>2810.34</v>
      </c>
      <c r="G30" s="1">
        <v>78</v>
      </c>
    </row>
    <row r="31" spans="1:7" hidden="1" x14ac:dyDescent="0.35">
      <c r="A31" s="1" t="s">
        <v>34</v>
      </c>
      <c r="B31" s="1" t="s">
        <v>10</v>
      </c>
      <c r="C31" s="1" t="s">
        <v>31</v>
      </c>
      <c r="D31" s="2">
        <v>44574</v>
      </c>
      <c r="E31" s="2" t="str">
        <f t="shared" si="0"/>
        <v>Jan</v>
      </c>
      <c r="F31" s="1">
        <v>1394.62</v>
      </c>
      <c r="G31" s="1">
        <v>57</v>
      </c>
    </row>
    <row r="32" spans="1:7" hidden="1" x14ac:dyDescent="0.35">
      <c r="A32" s="1" t="s">
        <v>28</v>
      </c>
      <c r="B32" s="1" t="s">
        <v>23</v>
      </c>
      <c r="C32" s="1" t="s">
        <v>30</v>
      </c>
      <c r="D32" s="2">
        <v>44653</v>
      </c>
      <c r="E32" s="2" t="str">
        <f t="shared" si="0"/>
        <v>Apr</v>
      </c>
      <c r="F32" s="1">
        <v>8143.6</v>
      </c>
      <c r="G32" s="1">
        <v>213</v>
      </c>
    </row>
    <row r="33" spans="1:7" hidden="1" x14ac:dyDescent="0.35">
      <c r="A33" s="1" t="s">
        <v>34</v>
      </c>
      <c r="B33" s="1" t="s">
        <v>10</v>
      </c>
      <c r="C33" s="1" t="s">
        <v>13</v>
      </c>
      <c r="D33" s="2">
        <v>44752</v>
      </c>
      <c r="E33" s="2" t="str">
        <f t="shared" si="0"/>
        <v>Jul</v>
      </c>
      <c r="F33" s="1">
        <v>12885.94</v>
      </c>
      <c r="G33" s="1">
        <v>340</v>
      </c>
    </row>
    <row r="34" spans="1:7" hidden="1" x14ac:dyDescent="0.35">
      <c r="A34" s="1" t="s">
        <v>28</v>
      </c>
      <c r="B34" s="1" t="s">
        <v>7</v>
      </c>
      <c r="C34" s="1" t="s">
        <v>17</v>
      </c>
      <c r="D34" s="2">
        <v>44776</v>
      </c>
      <c r="E34" s="2" t="str">
        <f t="shared" si="0"/>
        <v>Aug</v>
      </c>
      <c r="F34" s="1">
        <v>16223.13</v>
      </c>
      <c r="G34" s="1">
        <v>362</v>
      </c>
    </row>
    <row r="35" spans="1:7" hidden="1" x14ac:dyDescent="0.35">
      <c r="A35" s="1" t="s">
        <v>21</v>
      </c>
      <c r="B35" s="1" t="s">
        <v>10</v>
      </c>
      <c r="C35" s="1" t="s">
        <v>25</v>
      </c>
      <c r="D35" s="2">
        <v>44638</v>
      </c>
      <c r="E35" s="2" t="str">
        <f t="shared" si="0"/>
        <v>Mar</v>
      </c>
      <c r="F35" s="1">
        <v>8330.4699999999993</v>
      </c>
      <c r="G35" s="1">
        <v>217</v>
      </c>
    </row>
    <row r="36" spans="1:7" hidden="1" x14ac:dyDescent="0.35">
      <c r="A36" s="1" t="s">
        <v>34</v>
      </c>
      <c r="B36" s="1" t="s">
        <v>14</v>
      </c>
      <c r="C36" s="1" t="s">
        <v>18</v>
      </c>
      <c r="D36" s="2">
        <v>44731</v>
      </c>
      <c r="E36" s="2" t="str">
        <f t="shared" si="0"/>
        <v>Jun</v>
      </c>
      <c r="F36" s="1">
        <v>5384.2</v>
      </c>
      <c r="G36" s="1">
        <v>290</v>
      </c>
    </row>
    <row r="37" spans="1:7" hidden="1" x14ac:dyDescent="0.35">
      <c r="A37" s="1" t="s">
        <v>26</v>
      </c>
      <c r="B37" s="1" t="s">
        <v>12</v>
      </c>
      <c r="C37" s="1" t="s">
        <v>32</v>
      </c>
      <c r="D37" s="2">
        <v>44627</v>
      </c>
      <c r="E37" s="2" t="str">
        <f t="shared" si="0"/>
        <v>Mar</v>
      </c>
      <c r="F37" s="1">
        <v>19594.27</v>
      </c>
      <c r="G37" s="1">
        <v>450</v>
      </c>
    </row>
    <row r="38" spans="1:7" hidden="1" x14ac:dyDescent="0.35">
      <c r="A38" s="1" t="s">
        <v>26</v>
      </c>
      <c r="B38" s="1" t="s">
        <v>14</v>
      </c>
      <c r="C38" s="1" t="s">
        <v>29</v>
      </c>
      <c r="D38" s="2">
        <v>44708</v>
      </c>
      <c r="E38" s="2" t="str">
        <f t="shared" si="0"/>
        <v>May</v>
      </c>
      <c r="F38" s="1">
        <v>12213.24</v>
      </c>
      <c r="G38" s="1">
        <v>266</v>
      </c>
    </row>
    <row r="39" spans="1:7" hidden="1" x14ac:dyDescent="0.35">
      <c r="A39" s="1" t="s">
        <v>6</v>
      </c>
      <c r="B39" s="1" t="s">
        <v>10</v>
      </c>
      <c r="C39" s="1" t="s">
        <v>32</v>
      </c>
      <c r="D39" s="2">
        <v>44692</v>
      </c>
      <c r="E39" s="2" t="str">
        <f t="shared" si="0"/>
        <v>May</v>
      </c>
      <c r="F39" s="1">
        <v>4242.5600000000004</v>
      </c>
      <c r="G39" s="1">
        <v>357</v>
      </c>
    </row>
    <row r="40" spans="1:7" hidden="1" x14ac:dyDescent="0.35">
      <c r="A40" s="1" t="s">
        <v>34</v>
      </c>
      <c r="B40" s="1" t="s">
        <v>23</v>
      </c>
      <c r="C40" s="1" t="s">
        <v>25</v>
      </c>
      <c r="D40" s="2">
        <v>44640</v>
      </c>
      <c r="E40" s="2" t="str">
        <f t="shared" si="0"/>
        <v>Mar</v>
      </c>
      <c r="F40" s="1">
        <v>13379.16</v>
      </c>
      <c r="G40" s="1">
        <v>498</v>
      </c>
    </row>
    <row r="41" spans="1:7" hidden="1" x14ac:dyDescent="0.35">
      <c r="A41" s="1" t="s">
        <v>6</v>
      </c>
      <c r="B41" s="1" t="s">
        <v>23</v>
      </c>
      <c r="C41" s="1" t="s">
        <v>19</v>
      </c>
      <c r="D41" s="2">
        <v>44645</v>
      </c>
      <c r="E41" s="2" t="str">
        <f t="shared" si="0"/>
        <v>Mar</v>
      </c>
      <c r="F41" s="1">
        <v>9353.99</v>
      </c>
      <c r="G41" s="1">
        <v>246</v>
      </c>
    </row>
    <row r="42" spans="1:7" hidden="1" x14ac:dyDescent="0.35">
      <c r="A42" s="1" t="s">
        <v>11</v>
      </c>
      <c r="B42" s="1" t="s">
        <v>14</v>
      </c>
      <c r="C42" s="1" t="s">
        <v>29</v>
      </c>
      <c r="D42" s="2">
        <v>44799</v>
      </c>
      <c r="E42" s="2" t="str">
        <f t="shared" si="0"/>
        <v>Aug</v>
      </c>
      <c r="F42" s="1">
        <v>5032.7299999999996</v>
      </c>
      <c r="G42" s="1">
        <v>147</v>
      </c>
    </row>
    <row r="43" spans="1:7" hidden="1" x14ac:dyDescent="0.35">
      <c r="A43" s="1" t="s">
        <v>34</v>
      </c>
      <c r="B43" s="1" t="s">
        <v>10</v>
      </c>
      <c r="C43" s="1" t="s">
        <v>17</v>
      </c>
      <c r="D43" s="2">
        <v>44570</v>
      </c>
      <c r="E43" s="2" t="str">
        <f t="shared" si="0"/>
        <v>Jan</v>
      </c>
      <c r="F43" s="1">
        <v>3041.08</v>
      </c>
      <c r="G43" s="1">
        <v>103</v>
      </c>
    </row>
    <row r="44" spans="1:7" hidden="1" x14ac:dyDescent="0.35">
      <c r="A44" s="1" t="s">
        <v>11</v>
      </c>
      <c r="B44" s="1" t="s">
        <v>7</v>
      </c>
      <c r="C44" s="1" t="s">
        <v>27</v>
      </c>
      <c r="D44" s="2">
        <v>44645</v>
      </c>
      <c r="E44" s="2" t="str">
        <f t="shared" si="0"/>
        <v>Mar</v>
      </c>
      <c r="F44" s="1">
        <v>3258.73</v>
      </c>
      <c r="G44" s="1">
        <v>150</v>
      </c>
    </row>
    <row r="45" spans="1:7" hidden="1" x14ac:dyDescent="0.35">
      <c r="A45" s="1" t="s">
        <v>28</v>
      </c>
      <c r="B45" s="1" t="s">
        <v>24</v>
      </c>
      <c r="C45" s="1" t="s">
        <v>35</v>
      </c>
      <c r="D45" s="2">
        <v>44698</v>
      </c>
      <c r="E45" s="2" t="str">
        <f t="shared" si="0"/>
        <v>May</v>
      </c>
      <c r="F45" s="1">
        <v>10452.26</v>
      </c>
      <c r="G45" s="1">
        <v>242</v>
      </c>
    </row>
    <row r="46" spans="1:7" x14ac:dyDescent="0.35">
      <c r="A46" s="1" t="s">
        <v>9</v>
      </c>
      <c r="B46" s="1" t="s">
        <v>24</v>
      </c>
      <c r="C46" s="1" t="s">
        <v>32</v>
      </c>
      <c r="D46" s="2">
        <v>44710</v>
      </c>
      <c r="E46" s="2" t="str">
        <f t="shared" si="0"/>
        <v>May</v>
      </c>
      <c r="F46" s="1">
        <v>8642.86</v>
      </c>
      <c r="G46" s="1">
        <v>298</v>
      </c>
    </row>
    <row r="47" spans="1:7" hidden="1" x14ac:dyDescent="0.35">
      <c r="A47" s="1" t="s">
        <v>11</v>
      </c>
      <c r="B47" s="1" t="s">
        <v>12</v>
      </c>
      <c r="C47" s="1" t="s">
        <v>18</v>
      </c>
      <c r="D47" s="2">
        <v>44651</v>
      </c>
      <c r="E47" s="2" t="str">
        <f t="shared" si="0"/>
        <v>Mar</v>
      </c>
      <c r="F47" s="1">
        <v>2523.86</v>
      </c>
      <c r="G47" s="1">
        <v>102</v>
      </c>
    </row>
    <row r="48" spans="1:7" x14ac:dyDescent="0.35">
      <c r="A48" s="1" t="s">
        <v>9</v>
      </c>
      <c r="B48" s="1" t="s">
        <v>7</v>
      </c>
      <c r="C48" s="1" t="s">
        <v>33</v>
      </c>
      <c r="D48" s="2">
        <v>44688</v>
      </c>
      <c r="E48" s="2" t="str">
        <f t="shared" si="0"/>
        <v>May</v>
      </c>
      <c r="F48" s="1">
        <v>11599.9</v>
      </c>
      <c r="G48" s="1">
        <v>324</v>
      </c>
    </row>
    <row r="49" spans="1:7" hidden="1" x14ac:dyDescent="0.35">
      <c r="A49" s="1" t="s">
        <v>28</v>
      </c>
      <c r="B49" s="1" t="s">
        <v>14</v>
      </c>
      <c r="C49" s="1" t="s">
        <v>36</v>
      </c>
      <c r="D49" s="2">
        <v>44708</v>
      </c>
      <c r="E49" s="2" t="str">
        <f t="shared" si="0"/>
        <v>May</v>
      </c>
      <c r="F49" s="1">
        <v>15606.61</v>
      </c>
      <c r="G49" s="1">
        <v>331</v>
      </c>
    </row>
    <row r="50" spans="1:7" hidden="1" x14ac:dyDescent="0.35">
      <c r="A50" s="1" t="s">
        <v>34</v>
      </c>
      <c r="B50" s="1" t="s">
        <v>14</v>
      </c>
      <c r="C50" s="1" t="s">
        <v>17</v>
      </c>
      <c r="D50" s="2">
        <v>44755</v>
      </c>
      <c r="E50" s="2" t="str">
        <f t="shared" si="0"/>
        <v>Jul</v>
      </c>
      <c r="F50" s="1">
        <v>9583.51</v>
      </c>
      <c r="G50" s="1">
        <v>312</v>
      </c>
    </row>
    <row r="51" spans="1:7" hidden="1" x14ac:dyDescent="0.35">
      <c r="A51" s="1" t="s">
        <v>21</v>
      </c>
      <c r="B51" s="1" t="s">
        <v>14</v>
      </c>
      <c r="C51" s="1" t="s">
        <v>19</v>
      </c>
      <c r="D51" s="2">
        <v>44786</v>
      </c>
      <c r="E51" s="2" t="str">
        <f t="shared" si="0"/>
        <v>Aug</v>
      </c>
      <c r="F51" s="1">
        <v>10192.85</v>
      </c>
      <c r="G51" s="1">
        <v>373</v>
      </c>
    </row>
    <row r="52" spans="1:7" hidden="1" x14ac:dyDescent="0.35">
      <c r="A52" s="1" t="s">
        <v>22</v>
      </c>
      <c r="B52" s="1" t="s">
        <v>24</v>
      </c>
      <c r="C52" s="1" t="s">
        <v>32</v>
      </c>
      <c r="D52" s="2">
        <v>44683</v>
      </c>
      <c r="E52" s="2" t="str">
        <f t="shared" si="0"/>
        <v>May</v>
      </c>
      <c r="F52" s="1">
        <v>21701.439999999999</v>
      </c>
      <c r="G52" s="1">
        <v>483</v>
      </c>
    </row>
    <row r="53" spans="1:7" hidden="1" x14ac:dyDescent="0.35">
      <c r="A53" s="1" t="s">
        <v>16</v>
      </c>
      <c r="B53" s="1" t="s">
        <v>12</v>
      </c>
      <c r="C53" s="1" t="s">
        <v>27</v>
      </c>
      <c r="D53" s="2">
        <v>44801</v>
      </c>
      <c r="E53" s="2" t="str">
        <f t="shared" si="0"/>
        <v>Aug</v>
      </c>
      <c r="F53" s="1">
        <v>6496.58</v>
      </c>
      <c r="G53" s="1">
        <v>366</v>
      </c>
    </row>
    <row r="54" spans="1:7" hidden="1" x14ac:dyDescent="0.35">
      <c r="A54" s="1" t="s">
        <v>11</v>
      </c>
      <c r="B54" s="1" t="s">
        <v>14</v>
      </c>
      <c r="C54" s="1" t="s">
        <v>13</v>
      </c>
      <c r="D54" s="2">
        <v>44594</v>
      </c>
      <c r="E54" s="2" t="str">
        <f t="shared" si="0"/>
        <v>Feb</v>
      </c>
      <c r="F54" s="1">
        <v>16383.31</v>
      </c>
      <c r="G54" s="1">
        <v>438</v>
      </c>
    </row>
    <row r="55" spans="1:7" hidden="1" x14ac:dyDescent="0.35">
      <c r="A55" s="1" t="s">
        <v>34</v>
      </c>
      <c r="B55" s="1" t="s">
        <v>14</v>
      </c>
      <c r="C55" s="1" t="s">
        <v>13</v>
      </c>
      <c r="D55" s="2">
        <v>44715</v>
      </c>
      <c r="E55" s="2" t="str">
        <f t="shared" si="0"/>
        <v>Jun</v>
      </c>
      <c r="F55" s="1">
        <v>15834.45</v>
      </c>
      <c r="G55" s="1">
        <v>361</v>
      </c>
    </row>
    <row r="56" spans="1:7" hidden="1" x14ac:dyDescent="0.35">
      <c r="A56" s="1" t="s">
        <v>21</v>
      </c>
      <c r="B56" s="1" t="s">
        <v>10</v>
      </c>
      <c r="C56" s="1" t="s">
        <v>17</v>
      </c>
      <c r="D56" s="2">
        <v>44698</v>
      </c>
      <c r="E56" s="2" t="str">
        <f t="shared" si="0"/>
        <v>May</v>
      </c>
      <c r="F56" s="1">
        <v>7501.02</v>
      </c>
      <c r="G56" s="1">
        <v>489</v>
      </c>
    </row>
    <row r="57" spans="1:7" hidden="1" x14ac:dyDescent="0.35">
      <c r="A57" s="1" t="s">
        <v>21</v>
      </c>
      <c r="B57" s="1" t="s">
        <v>10</v>
      </c>
      <c r="C57" s="1" t="s">
        <v>32</v>
      </c>
      <c r="D57" s="2">
        <v>44736</v>
      </c>
      <c r="E57" s="2" t="str">
        <f t="shared" si="0"/>
        <v>Jun</v>
      </c>
      <c r="F57" s="1">
        <v>922.43</v>
      </c>
      <c r="G57" s="1">
        <v>29</v>
      </c>
    </row>
    <row r="58" spans="1:7" hidden="1" x14ac:dyDescent="0.35">
      <c r="A58" s="1" t="s">
        <v>11</v>
      </c>
      <c r="B58" s="1" t="s">
        <v>12</v>
      </c>
      <c r="C58" s="1" t="s">
        <v>15</v>
      </c>
      <c r="D58" s="2">
        <v>44679</v>
      </c>
      <c r="E58" s="2" t="str">
        <f t="shared" si="0"/>
        <v>Apr</v>
      </c>
      <c r="F58" s="1">
        <v>6141.45</v>
      </c>
      <c r="G58" s="1">
        <v>213</v>
      </c>
    </row>
    <row r="59" spans="1:7" hidden="1" x14ac:dyDescent="0.35">
      <c r="A59" s="1" t="s">
        <v>21</v>
      </c>
      <c r="B59" s="1" t="s">
        <v>14</v>
      </c>
      <c r="C59" s="1" t="s">
        <v>18</v>
      </c>
      <c r="D59" s="2">
        <v>44643</v>
      </c>
      <c r="E59" s="2" t="str">
        <f t="shared" si="0"/>
        <v>Mar</v>
      </c>
      <c r="F59" s="1">
        <v>1745.79</v>
      </c>
      <c r="G59" s="1">
        <v>156</v>
      </c>
    </row>
    <row r="60" spans="1:7" hidden="1" x14ac:dyDescent="0.35">
      <c r="A60" s="1" t="s">
        <v>28</v>
      </c>
      <c r="B60" s="1" t="s">
        <v>14</v>
      </c>
      <c r="C60" s="1" t="s">
        <v>33</v>
      </c>
      <c r="D60" s="2">
        <v>44645</v>
      </c>
      <c r="E60" s="2" t="str">
        <f t="shared" si="0"/>
        <v>Mar</v>
      </c>
      <c r="F60" s="1">
        <v>7268.2</v>
      </c>
      <c r="G60" s="1">
        <v>198</v>
      </c>
    </row>
    <row r="61" spans="1:7" hidden="1" x14ac:dyDescent="0.35">
      <c r="A61" s="1" t="s">
        <v>16</v>
      </c>
      <c r="B61" s="1" t="s">
        <v>10</v>
      </c>
      <c r="C61" s="1" t="s">
        <v>36</v>
      </c>
      <c r="D61" s="2">
        <v>44676</v>
      </c>
      <c r="E61" s="2" t="str">
        <f t="shared" si="0"/>
        <v>Apr</v>
      </c>
      <c r="F61" s="1">
        <v>424.38</v>
      </c>
      <c r="G61" s="1">
        <v>30</v>
      </c>
    </row>
    <row r="62" spans="1:7" hidden="1" x14ac:dyDescent="0.35">
      <c r="A62" s="1" t="s">
        <v>21</v>
      </c>
      <c r="B62" s="1" t="s">
        <v>14</v>
      </c>
      <c r="C62" s="1" t="s">
        <v>13</v>
      </c>
      <c r="D62" s="2">
        <v>44659</v>
      </c>
      <c r="E62" s="2" t="str">
        <f t="shared" si="0"/>
        <v>Apr</v>
      </c>
      <c r="F62" s="1">
        <v>10711.79</v>
      </c>
      <c r="G62" s="1">
        <v>331</v>
      </c>
    </row>
    <row r="63" spans="1:7" hidden="1" x14ac:dyDescent="0.35">
      <c r="A63" s="1" t="s">
        <v>21</v>
      </c>
      <c r="B63" s="1" t="s">
        <v>24</v>
      </c>
      <c r="C63" s="1" t="s">
        <v>29</v>
      </c>
      <c r="D63" s="2">
        <v>44643</v>
      </c>
      <c r="E63" s="2" t="str">
        <f t="shared" si="0"/>
        <v>Mar</v>
      </c>
      <c r="F63" s="1">
        <v>8154.9</v>
      </c>
      <c r="G63" s="1">
        <v>248</v>
      </c>
    </row>
    <row r="64" spans="1:7" hidden="1" x14ac:dyDescent="0.35">
      <c r="A64" s="1" t="s">
        <v>26</v>
      </c>
      <c r="B64" s="1" t="s">
        <v>14</v>
      </c>
      <c r="C64" s="1" t="s">
        <v>19</v>
      </c>
      <c r="D64" s="2">
        <v>44767</v>
      </c>
      <c r="E64" s="2" t="str">
        <f t="shared" si="0"/>
        <v>Jul</v>
      </c>
      <c r="F64" s="1">
        <v>5132.41</v>
      </c>
      <c r="G64" s="1">
        <v>454</v>
      </c>
    </row>
    <row r="65" spans="1:7" hidden="1" x14ac:dyDescent="0.35">
      <c r="A65" s="1" t="s">
        <v>20</v>
      </c>
      <c r="B65" s="1" t="s">
        <v>12</v>
      </c>
      <c r="C65" s="1" t="s">
        <v>29</v>
      </c>
      <c r="D65" s="2">
        <v>44641</v>
      </c>
      <c r="E65" s="2" t="str">
        <f t="shared" si="0"/>
        <v>Mar</v>
      </c>
      <c r="F65" s="1">
        <v>6538.2</v>
      </c>
      <c r="G65" s="1">
        <v>264</v>
      </c>
    </row>
    <row r="66" spans="1:7" x14ac:dyDescent="0.35">
      <c r="A66" s="1" t="s">
        <v>9</v>
      </c>
      <c r="B66" s="1" t="s">
        <v>24</v>
      </c>
      <c r="C66" s="1" t="s">
        <v>18</v>
      </c>
      <c r="D66" s="2">
        <v>44753</v>
      </c>
      <c r="E66" s="2" t="str">
        <f t="shared" si="0"/>
        <v>Jul</v>
      </c>
      <c r="F66" s="1">
        <v>13625.75</v>
      </c>
      <c r="G66" s="1">
        <v>406</v>
      </c>
    </row>
    <row r="67" spans="1:7" hidden="1" x14ac:dyDescent="0.35">
      <c r="A67" s="1" t="s">
        <v>20</v>
      </c>
      <c r="B67" s="1" t="s">
        <v>23</v>
      </c>
      <c r="C67" s="1" t="s">
        <v>36</v>
      </c>
      <c r="D67" s="2">
        <v>44730</v>
      </c>
      <c r="E67" s="2" t="str">
        <f t="shared" ref="E67:E130" si="1">TEXT(D67, "mmm")</f>
        <v>Jun</v>
      </c>
      <c r="F67" s="1">
        <v>3344.35</v>
      </c>
      <c r="G67" s="1">
        <v>244</v>
      </c>
    </row>
    <row r="68" spans="1:7" hidden="1" x14ac:dyDescent="0.35">
      <c r="A68" s="1" t="s">
        <v>16</v>
      </c>
      <c r="B68" s="1" t="s">
        <v>12</v>
      </c>
      <c r="C68" s="1" t="s">
        <v>8</v>
      </c>
      <c r="D68" s="2">
        <v>44622</v>
      </c>
      <c r="E68" s="2" t="str">
        <f t="shared" si="1"/>
        <v>Mar</v>
      </c>
      <c r="F68" s="1">
        <v>11456.29</v>
      </c>
      <c r="G68" s="1">
        <v>325</v>
      </c>
    </row>
    <row r="69" spans="1:7" hidden="1" x14ac:dyDescent="0.35">
      <c r="A69" s="1" t="s">
        <v>26</v>
      </c>
      <c r="B69" s="1" t="s">
        <v>12</v>
      </c>
      <c r="C69" s="1" t="s">
        <v>27</v>
      </c>
      <c r="D69" s="2">
        <v>44670</v>
      </c>
      <c r="E69" s="2" t="str">
        <f t="shared" si="1"/>
        <v>Apr</v>
      </c>
      <c r="F69" s="1">
        <v>8946.01</v>
      </c>
      <c r="G69" s="1">
        <v>434</v>
      </c>
    </row>
    <row r="70" spans="1:7" hidden="1" x14ac:dyDescent="0.35">
      <c r="A70" s="1" t="s">
        <v>11</v>
      </c>
      <c r="B70" s="1" t="s">
        <v>23</v>
      </c>
      <c r="C70" s="1" t="s">
        <v>27</v>
      </c>
      <c r="D70" s="2">
        <v>44577</v>
      </c>
      <c r="E70" s="2" t="str">
        <f t="shared" si="1"/>
        <v>Jan</v>
      </c>
      <c r="F70" s="1">
        <v>15120.74</v>
      </c>
      <c r="G70" s="1">
        <v>360</v>
      </c>
    </row>
    <row r="71" spans="1:7" x14ac:dyDescent="0.35">
      <c r="A71" s="1" t="s">
        <v>9</v>
      </c>
      <c r="B71" s="1" t="s">
        <v>7</v>
      </c>
      <c r="C71" s="1" t="s">
        <v>31</v>
      </c>
      <c r="D71" s="2">
        <v>44652</v>
      </c>
      <c r="E71" s="2" t="str">
        <f t="shared" si="1"/>
        <v>Apr</v>
      </c>
      <c r="F71" s="1">
        <v>9372.51</v>
      </c>
      <c r="G71" s="1">
        <v>274</v>
      </c>
    </row>
    <row r="72" spans="1:7" hidden="1" x14ac:dyDescent="0.35">
      <c r="A72" s="1" t="s">
        <v>11</v>
      </c>
      <c r="B72" s="1" t="s">
        <v>10</v>
      </c>
      <c r="C72" s="1" t="s">
        <v>32</v>
      </c>
      <c r="D72" s="2">
        <v>44703</v>
      </c>
      <c r="E72" s="2" t="str">
        <f t="shared" si="1"/>
        <v>May</v>
      </c>
      <c r="F72" s="1">
        <v>4531.42</v>
      </c>
      <c r="G72" s="1">
        <v>107</v>
      </c>
    </row>
    <row r="73" spans="1:7" hidden="1" x14ac:dyDescent="0.35">
      <c r="A73" s="1" t="s">
        <v>21</v>
      </c>
      <c r="B73" s="1" t="s">
        <v>24</v>
      </c>
      <c r="C73" s="1" t="s">
        <v>8</v>
      </c>
      <c r="D73" s="2">
        <v>44574</v>
      </c>
      <c r="E73" s="2" t="str">
        <f t="shared" si="1"/>
        <v>Jan</v>
      </c>
      <c r="F73" s="1">
        <v>16283.5</v>
      </c>
      <c r="G73" s="1">
        <v>456</v>
      </c>
    </row>
    <row r="74" spans="1:7" hidden="1" x14ac:dyDescent="0.35">
      <c r="A74" s="1" t="s">
        <v>26</v>
      </c>
      <c r="B74" s="1" t="s">
        <v>7</v>
      </c>
      <c r="C74" s="1" t="s">
        <v>19</v>
      </c>
      <c r="D74" s="2">
        <v>44585</v>
      </c>
      <c r="E74" s="2" t="str">
        <f t="shared" si="1"/>
        <v>Jan</v>
      </c>
      <c r="F74" s="1">
        <v>10108.84</v>
      </c>
      <c r="G74" s="1">
        <v>402</v>
      </c>
    </row>
    <row r="75" spans="1:7" hidden="1" x14ac:dyDescent="0.35">
      <c r="A75" s="1" t="s">
        <v>21</v>
      </c>
      <c r="B75" s="1" t="s">
        <v>10</v>
      </c>
      <c r="C75" s="1" t="s">
        <v>13</v>
      </c>
      <c r="D75" s="2">
        <v>44785</v>
      </c>
      <c r="E75" s="2" t="str">
        <f t="shared" si="1"/>
        <v>Aug</v>
      </c>
      <c r="F75" s="1">
        <v>3801.03</v>
      </c>
      <c r="G75" s="1">
        <v>202</v>
      </c>
    </row>
    <row r="76" spans="1:7" hidden="1" x14ac:dyDescent="0.35">
      <c r="A76" s="1" t="s">
        <v>28</v>
      </c>
      <c r="B76" s="1" t="s">
        <v>24</v>
      </c>
      <c r="C76" s="1" t="s">
        <v>35</v>
      </c>
      <c r="D76" s="2">
        <v>44750</v>
      </c>
      <c r="E76" s="2" t="str">
        <f t="shared" si="1"/>
        <v>Jul</v>
      </c>
      <c r="F76" s="1">
        <v>1308.08</v>
      </c>
      <c r="G76" s="1">
        <v>51</v>
      </c>
    </row>
    <row r="77" spans="1:7" hidden="1" x14ac:dyDescent="0.35">
      <c r="A77" s="1" t="s">
        <v>21</v>
      </c>
      <c r="B77" s="1" t="s">
        <v>7</v>
      </c>
      <c r="C77" s="1" t="s">
        <v>25</v>
      </c>
      <c r="D77" s="2">
        <v>44751</v>
      </c>
      <c r="E77" s="2" t="str">
        <f t="shared" si="1"/>
        <v>Jul</v>
      </c>
      <c r="F77" s="1">
        <v>13195</v>
      </c>
      <c r="G77" s="1">
        <v>285</v>
      </c>
    </row>
    <row r="78" spans="1:7" hidden="1" x14ac:dyDescent="0.35">
      <c r="A78" s="1" t="s">
        <v>20</v>
      </c>
      <c r="B78" s="1" t="s">
        <v>23</v>
      </c>
      <c r="C78" s="1" t="s">
        <v>30</v>
      </c>
      <c r="D78" s="2">
        <v>44676</v>
      </c>
      <c r="E78" s="2" t="str">
        <f t="shared" si="1"/>
        <v>Apr</v>
      </c>
      <c r="F78" s="1">
        <v>5223.33</v>
      </c>
      <c r="G78" s="1">
        <v>152</v>
      </c>
    </row>
    <row r="79" spans="1:7" hidden="1" x14ac:dyDescent="0.35">
      <c r="A79" s="1" t="s">
        <v>22</v>
      </c>
      <c r="B79" s="1" t="s">
        <v>7</v>
      </c>
      <c r="C79" s="1" t="s">
        <v>15</v>
      </c>
      <c r="D79" s="2">
        <v>44803</v>
      </c>
      <c r="E79" s="2" t="str">
        <f t="shared" si="1"/>
        <v>Aug</v>
      </c>
      <c r="F79" s="1">
        <v>6102.47</v>
      </c>
      <c r="G79" s="1">
        <v>146</v>
      </c>
    </row>
    <row r="80" spans="1:7" hidden="1" x14ac:dyDescent="0.35">
      <c r="A80" s="1" t="s">
        <v>21</v>
      </c>
      <c r="B80" s="1" t="s">
        <v>23</v>
      </c>
      <c r="C80" s="1" t="s">
        <v>32</v>
      </c>
      <c r="D80" s="2">
        <v>44741</v>
      </c>
      <c r="E80" s="2" t="str">
        <f t="shared" si="1"/>
        <v>Jun</v>
      </c>
      <c r="F80" s="1">
        <v>8416.43</v>
      </c>
      <c r="G80" s="1">
        <v>237</v>
      </c>
    </row>
    <row r="81" spans="1:7" hidden="1" x14ac:dyDescent="0.35">
      <c r="A81" s="1" t="s">
        <v>20</v>
      </c>
      <c r="B81" s="1" t="s">
        <v>7</v>
      </c>
      <c r="C81" s="1" t="s">
        <v>31</v>
      </c>
      <c r="D81" s="2">
        <v>44703</v>
      </c>
      <c r="E81" s="2" t="str">
        <f t="shared" si="1"/>
        <v>May</v>
      </c>
      <c r="F81" s="1">
        <v>8215.8700000000008</v>
      </c>
      <c r="G81" s="1">
        <v>334</v>
      </c>
    </row>
    <row r="82" spans="1:7" hidden="1" x14ac:dyDescent="0.35">
      <c r="A82" s="1" t="s">
        <v>16</v>
      </c>
      <c r="B82" s="1" t="s">
        <v>7</v>
      </c>
      <c r="C82" s="1" t="s">
        <v>36</v>
      </c>
      <c r="D82" s="2">
        <v>44649</v>
      </c>
      <c r="E82" s="2" t="str">
        <f t="shared" si="1"/>
        <v>Mar</v>
      </c>
      <c r="F82" s="1">
        <v>6936.38</v>
      </c>
      <c r="G82" s="1">
        <v>322</v>
      </c>
    </row>
    <row r="83" spans="1:7" hidden="1" x14ac:dyDescent="0.35">
      <c r="A83" s="1" t="s">
        <v>22</v>
      </c>
      <c r="B83" s="1" t="s">
        <v>14</v>
      </c>
      <c r="C83" s="1" t="s">
        <v>31</v>
      </c>
      <c r="D83" s="2">
        <v>44624</v>
      </c>
      <c r="E83" s="2" t="str">
        <f t="shared" si="1"/>
        <v>Mar</v>
      </c>
      <c r="F83" s="1">
        <v>2422.62</v>
      </c>
      <c r="G83" s="1">
        <v>180</v>
      </c>
    </row>
    <row r="84" spans="1:7" hidden="1" x14ac:dyDescent="0.35">
      <c r="A84" s="1" t="s">
        <v>6</v>
      </c>
      <c r="B84" s="1" t="s">
        <v>24</v>
      </c>
      <c r="C84" s="1" t="s">
        <v>35</v>
      </c>
      <c r="D84" s="2">
        <v>44574</v>
      </c>
      <c r="E84" s="2" t="str">
        <f t="shared" si="1"/>
        <v>Jan</v>
      </c>
      <c r="F84" s="1">
        <v>17090.34</v>
      </c>
      <c r="G84" s="1">
        <v>366</v>
      </c>
    </row>
    <row r="85" spans="1:7" hidden="1" x14ac:dyDescent="0.35">
      <c r="A85" s="1" t="s">
        <v>26</v>
      </c>
      <c r="B85" s="1" t="s">
        <v>7</v>
      </c>
      <c r="C85" s="1" t="s">
        <v>32</v>
      </c>
      <c r="D85" s="2">
        <v>44615</v>
      </c>
      <c r="E85" s="2" t="str">
        <f t="shared" si="1"/>
        <v>Feb</v>
      </c>
      <c r="F85" s="1">
        <v>10497.39</v>
      </c>
      <c r="G85" s="1">
        <v>324</v>
      </c>
    </row>
    <row r="86" spans="1:7" hidden="1" x14ac:dyDescent="0.35">
      <c r="A86" s="1" t="s">
        <v>16</v>
      </c>
      <c r="B86" s="1" t="s">
        <v>10</v>
      </c>
      <c r="C86" s="1" t="s">
        <v>31</v>
      </c>
      <c r="D86" s="2">
        <v>44802</v>
      </c>
      <c r="E86" s="2" t="str">
        <f t="shared" si="1"/>
        <v>Aug</v>
      </c>
      <c r="F86" s="1">
        <v>569.78</v>
      </c>
      <c r="G86" s="1">
        <v>14</v>
      </c>
    </row>
    <row r="87" spans="1:7" hidden="1" x14ac:dyDescent="0.35">
      <c r="A87" s="1" t="s">
        <v>22</v>
      </c>
      <c r="B87" s="1" t="s">
        <v>10</v>
      </c>
      <c r="C87" s="1" t="s">
        <v>32</v>
      </c>
      <c r="D87" s="2">
        <v>44635</v>
      </c>
      <c r="E87" s="2" t="str">
        <f t="shared" si="1"/>
        <v>Mar</v>
      </c>
      <c r="F87" s="1">
        <v>4103.17</v>
      </c>
      <c r="G87" s="1">
        <v>124</v>
      </c>
    </row>
    <row r="88" spans="1:7" hidden="1" x14ac:dyDescent="0.35">
      <c r="A88" s="1" t="s">
        <v>20</v>
      </c>
      <c r="B88" s="1" t="s">
        <v>23</v>
      </c>
      <c r="C88" s="1" t="s">
        <v>36</v>
      </c>
      <c r="D88" s="2">
        <v>44799</v>
      </c>
      <c r="E88" s="2" t="str">
        <f t="shared" si="1"/>
        <v>Aug</v>
      </c>
      <c r="F88" s="1">
        <v>891.11</v>
      </c>
      <c r="G88" s="1">
        <v>73</v>
      </c>
    </row>
    <row r="89" spans="1:7" hidden="1" x14ac:dyDescent="0.35">
      <c r="A89" s="1" t="s">
        <v>20</v>
      </c>
      <c r="B89" s="1" t="s">
        <v>10</v>
      </c>
      <c r="C89" s="1" t="s">
        <v>32</v>
      </c>
      <c r="D89" s="2">
        <v>44579</v>
      </c>
      <c r="E89" s="2" t="str">
        <f t="shared" si="1"/>
        <v>Jan</v>
      </c>
      <c r="F89" s="1">
        <v>14127.27</v>
      </c>
      <c r="G89" s="1">
        <v>465</v>
      </c>
    </row>
    <row r="90" spans="1:7" hidden="1" x14ac:dyDescent="0.35">
      <c r="A90" s="1" t="s">
        <v>22</v>
      </c>
      <c r="B90" s="1" t="s">
        <v>24</v>
      </c>
      <c r="C90" s="1" t="s">
        <v>8</v>
      </c>
      <c r="D90" s="2">
        <v>44645</v>
      </c>
      <c r="E90" s="2" t="str">
        <f t="shared" si="1"/>
        <v>Mar</v>
      </c>
      <c r="F90" s="1">
        <v>5150.2700000000004</v>
      </c>
      <c r="G90" s="1">
        <v>218</v>
      </c>
    </row>
    <row r="91" spans="1:7" hidden="1" x14ac:dyDescent="0.35">
      <c r="A91" s="1" t="s">
        <v>21</v>
      </c>
      <c r="B91" s="1" t="s">
        <v>24</v>
      </c>
      <c r="C91" s="1" t="s">
        <v>25</v>
      </c>
      <c r="D91" s="2">
        <v>44628</v>
      </c>
      <c r="E91" s="2" t="str">
        <f t="shared" si="1"/>
        <v>Mar</v>
      </c>
      <c r="F91" s="1">
        <v>146.69999999999999</v>
      </c>
      <c r="G91" s="1">
        <v>13</v>
      </c>
    </row>
    <row r="92" spans="1:7" hidden="1" x14ac:dyDescent="0.35">
      <c r="A92" s="1" t="s">
        <v>16</v>
      </c>
      <c r="B92" s="1" t="s">
        <v>14</v>
      </c>
      <c r="C92" s="1" t="s">
        <v>27</v>
      </c>
      <c r="D92" s="2">
        <v>44609</v>
      </c>
      <c r="E92" s="2" t="str">
        <f t="shared" si="1"/>
        <v>Feb</v>
      </c>
      <c r="F92" s="1">
        <v>3812.92</v>
      </c>
      <c r="G92" s="1">
        <v>118</v>
      </c>
    </row>
    <row r="93" spans="1:7" hidden="1" x14ac:dyDescent="0.35">
      <c r="A93" s="1" t="s">
        <v>34</v>
      </c>
      <c r="B93" s="1" t="s">
        <v>24</v>
      </c>
      <c r="C93" s="1" t="s">
        <v>30</v>
      </c>
      <c r="D93" s="2">
        <v>44765</v>
      </c>
      <c r="E93" s="2" t="str">
        <f t="shared" si="1"/>
        <v>Jul</v>
      </c>
      <c r="F93" s="1">
        <v>9450.0400000000009</v>
      </c>
      <c r="G93" s="1">
        <v>218</v>
      </c>
    </row>
    <row r="94" spans="1:7" hidden="1" x14ac:dyDescent="0.35">
      <c r="A94" s="1" t="s">
        <v>21</v>
      </c>
      <c r="B94" s="1" t="s">
        <v>10</v>
      </c>
      <c r="C94" s="1" t="s">
        <v>25</v>
      </c>
      <c r="D94" s="2">
        <v>44606</v>
      </c>
      <c r="E94" s="2" t="str">
        <f t="shared" si="1"/>
        <v>Feb</v>
      </c>
      <c r="F94" s="1">
        <v>6457.54</v>
      </c>
      <c r="G94" s="1">
        <v>293</v>
      </c>
    </row>
    <row r="95" spans="1:7" hidden="1" x14ac:dyDescent="0.35">
      <c r="A95" s="1" t="s">
        <v>22</v>
      </c>
      <c r="B95" s="1" t="s">
        <v>10</v>
      </c>
      <c r="C95" s="1" t="s">
        <v>31</v>
      </c>
      <c r="D95" s="2">
        <v>44611</v>
      </c>
      <c r="E95" s="2" t="str">
        <f t="shared" si="1"/>
        <v>Feb</v>
      </c>
      <c r="F95" s="1">
        <v>7925.54</v>
      </c>
      <c r="G95" s="1">
        <v>309</v>
      </c>
    </row>
    <row r="96" spans="1:7" hidden="1" x14ac:dyDescent="0.35">
      <c r="A96" s="1" t="s">
        <v>6</v>
      </c>
      <c r="B96" s="1" t="s">
        <v>24</v>
      </c>
      <c r="C96" s="1" t="s">
        <v>19</v>
      </c>
      <c r="D96" s="2">
        <v>44664</v>
      </c>
      <c r="E96" s="2" t="str">
        <f t="shared" si="1"/>
        <v>Apr</v>
      </c>
      <c r="F96" s="1">
        <v>16861.45</v>
      </c>
      <c r="G96" s="1">
        <v>385</v>
      </c>
    </row>
    <row r="97" spans="1:7" hidden="1" x14ac:dyDescent="0.35">
      <c r="A97" s="1" t="s">
        <v>6</v>
      </c>
      <c r="B97" s="1" t="s">
        <v>14</v>
      </c>
      <c r="C97" s="1" t="s">
        <v>15</v>
      </c>
      <c r="D97" s="2">
        <v>44790</v>
      </c>
      <c r="E97" s="2" t="str">
        <f t="shared" si="1"/>
        <v>Aug</v>
      </c>
      <c r="F97" s="1">
        <v>1650.87</v>
      </c>
      <c r="G97" s="1">
        <v>72</v>
      </c>
    </row>
    <row r="98" spans="1:7" hidden="1" x14ac:dyDescent="0.35">
      <c r="A98" s="1" t="s">
        <v>11</v>
      </c>
      <c r="B98" s="1" t="s">
        <v>23</v>
      </c>
      <c r="C98" s="1" t="s">
        <v>27</v>
      </c>
      <c r="D98" s="2">
        <v>44757</v>
      </c>
      <c r="E98" s="2" t="str">
        <f t="shared" si="1"/>
        <v>Jul</v>
      </c>
      <c r="F98" s="1">
        <v>19861.82</v>
      </c>
      <c r="G98" s="1">
        <v>424</v>
      </c>
    </row>
    <row r="99" spans="1:7" hidden="1" x14ac:dyDescent="0.35">
      <c r="A99" s="1" t="s">
        <v>20</v>
      </c>
      <c r="B99" s="1" t="s">
        <v>7</v>
      </c>
      <c r="C99" s="1" t="s">
        <v>13</v>
      </c>
      <c r="D99" s="2">
        <v>44720</v>
      </c>
      <c r="E99" s="2" t="str">
        <f t="shared" si="1"/>
        <v>Jun</v>
      </c>
      <c r="F99" s="1">
        <v>10647.12</v>
      </c>
      <c r="G99" s="1">
        <v>234</v>
      </c>
    </row>
    <row r="100" spans="1:7" hidden="1" x14ac:dyDescent="0.35">
      <c r="A100" s="1" t="s">
        <v>22</v>
      </c>
      <c r="B100" s="1" t="s">
        <v>23</v>
      </c>
      <c r="C100" s="1" t="s">
        <v>36</v>
      </c>
      <c r="D100" s="2">
        <v>44715</v>
      </c>
      <c r="E100" s="2" t="str">
        <f t="shared" si="1"/>
        <v>Jun</v>
      </c>
      <c r="F100" s="1">
        <v>1564.91</v>
      </c>
      <c r="G100" s="1">
        <v>49</v>
      </c>
    </row>
    <row r="101" spans="1:7" hidden="1" x14ac:dyDescent="0.35">
      <c r="A101" s="1" t="s">
        <v>28</v>
      </c>
      <c r="B101" s="1" t="s">
        <v>12</v>
      </c>
      <c r="C101" s="1" t="s">
        <v>19</v>
      </c>
      <c r="D101" s="2">
        <v>44571</v>
      </c>
      <c r="E101" s="2" t="str">
        <f t="shared" si="1"/>
        <v>Jan</v>
      </c>
      <c r="F101" s="1">
        <v>2126.3000000000002</v>
      </c>
      <c r="G101" s="1">
        <v>89</v>
      </c>
    </row>
    <row r="102" spans="1:7" hidden="1" x14ac:dyDescent="0.35">
      <c r="A102" s="1" t="s">
        <v>28</v>
      </c>
      <c r="B102" s="1" t="s">
        <v>12</v>
      </c>
      <c r="C102" s="1" t="s">
        <v>30</v>
      </c>
      <c r="D102" s="2">
        <v>44660</v>
      </c>
      <c r="E102" s="2" t="str">
        <f t="shared" si="1"/>
        <v>Apr</v>
      </c>
      <c r="F102" s="1">
        <v>2893.74</v>
      </c>
      <c r="G102" s="1">
        <v>204</v>
      </c>
    </row>
    <row r="103" spans="1:7" hidden="1" x14ac:dyDescent="0.35">
      <c r="A103" s="1" t="s">
        <v>20</v>
      </c>
      <c r="B103" s="1" t="s">
        <v>23</v>
      </c>
      <c r="C103" s="1" t="s">
        <v>19</v>
      </c>
      <c r="D103" s="2">
        <v>44668</v>
      </c>
      <c r="E103" s="2" t="str">
        <f t="shared" si="1"/>
        <v>Apr</v>
      </c>
      <c r="F103" s="1">
        <v>13434.96</v>
      </c>
      <c r="G103" s="1">
        <v>283</v>
      </c>
    </row>
    <row r="104" spans="1:7" x14ac:dyDescent="0.35">
      <c r="A104" s="1" t="s">
        <v>9</v>
      </c>
      <c r="B104" s="1" t="s">
        <v>12</v>
      </c>
      <c r="C104" s="1" t="s">
        <v>17</v>
      </c>
      <c r="D104" s="2">
        <v>44747</v>
      </c>
      <c r="E104" s="2" t="str">
        <f t="shared" si="1"/>
        <v>Jul</v>
      </c>
      <c r="F104" s="1">
        <v>8273.51</v>
      </c>
      <c r="G104" s="1">
        <v>169</v>
      </c>
    </row>
    <row r="105" spans="1:7" hidden="1" x14ac:dyDescent="0.35">
      <c r="A105" s="1" t="s">
        <v>21</v>
      </c>
      <c r="B105" s="1" t="s">
        <v>10</v>
      </c>
      <c r="C105" s="1" t="s">
        <v>33</v>
      </c>
      <c r="D105" s="2">
        <v>44658</v>
      </c>
      <c r="E105" s="2" t="str">
        <f t="shared" si="1"/>
        <v>Apr</v>
      </c>
      <c r="F105" s="1">
        <v>4063.64</v>
      </c>
      <c r="G105" s="1">
        <v>149</v>
      </c>
    </row>
    <row r="106" spans="1:7" hidden="1" x14ac:dyDescent="0.35">
      <c r="A106" s="1" t="s">
        <v>22</v>
      </c>
      <c r="B106" s="1" t="s">
        <v>10</v>
      </c>
      <c r="C106" s="1" t="s">
        <v>8</v>
      </c>
      <c r="D106" s="2">
        <v>44779</v>
      </c>
      <c r="E106" s="2" t="str">
        <f t="shared" si="1"/>
        <v>Aug</v>
      </c>
      <c r="F106" s="1">
        <v>6650.47</v>
      </c>
      <c r="G106" s="1">
        <v>471</v>
      </c>
    </row>
    <row r="107" spans="1:7" hidden="1" x14ac:dyDescent="0.35">
      <c r="A107" s="1" t="s">
        <v>28</v>
      </c>
      <c r="B107" s="1" t="s">
        <v>24</v>
      </c>
      <c r="C107" s="1" t="s">
        <v>32</v>
      </c>
      <c r="D107" s="2">
        <v>44600</v>
      </c>
      <c r="E107" s="2" t="str">
        <f t="shared" si="1"/>
        <v>Feb</v>
      </c>
      <c r="F107" s="1">
        <v>4463.32</v>
      </c>
      <c r="G107" s="1">
        <v>295</v>
      </c>
    </row>
    <row r="108" spans="1:7" hidden="1" x14ac:dyDescent="0.35">
      <c r="A108" s="1" t="s">
        <v>26</v>
      </c>
      <c r="B108" s="1" t="s">
        <v>24</v>
      </c>
      <c r="C108" s="1" t="s">
        <v>36</v>
      </c>
      <c r="D108" s="2">
        <v>44630</v>
      </c>
      <c r="E108" s="2" t="str">
        <f t="shared" si="1"/>
        <v>Mar</v>
      </c>
      <c r="F108" s="1">
        <v>16996.07</v>
      </c>
      <c r="G108" s="1">
        <v>471</v>
      </c>
    </row>
    <row r="109" spans="1:7" hidden="1" x14ac:dyDescent="0.35">
      <c r="A109" s="1" t="s">
        <v>22</v>
      </c>
      <c r="B109" s="1" t="s">
        <v>10</v>
      </c>
      <c r="C109" s="1" t="s">
        <v>19</v>
      </c>
      <c r="D109" s="2">
        <v>44803</v>
      </c>
      <c r="E109" s="2" t="str">
        <f t="shared" si="1"/>
        <v>Aug</v>
      </c>
      <c r="F109" s="1">
        <v>4768.41</v>
      </c>
      <c r="G109" s="1">
        <v>183</v>
      </c>
    </row>
    <row r="110" spans="1:7" hidden="1" x14ac:dyDescent="0.35">
      <c r="A110" s="1" t="s">
        <v>20</v>
      </c>
      <c r="B110" s="1" t="s">
        <v>23</v>
      </c>
      <c r="C110" s="1" t="s">
        <v>25</v>
      </c>
      <c r="D110" s="2">
        <v>44650</v>
      </c>
      <c r="E110" s="2" t="str">
        <f t="shared" si="1"/>
        <v>Mar</v>
      </c>
      <c r="F110" s="1">
        <v>18046.13</v>
      </c>
      <c r="G110" s="1">
        <v>401</v>
      </c>
    </row>
    <row r="111" spans="1:7" hidden="1" x14ac:dyDescent="0.35">
      <c r="A111" s="1" t="s">
        <v>34</v>
      </c>
      <c r="B111" s="1" t="s">
        <v>24</v>
      </c>
      <c r="C111" s="1" t="s">
        <v>8</v>
      </c>
      <c r="D111" s="2">
        <v>44699</v>
      </c>
      <c r="E111" s="2" t="str">
        <f t="shared" si="1"/>
        <v>May</v>
      </c>
      <c r="F111" s="1">
        <v>868.92</v>
      </c>
      <c r="G111" s="1">
        <v>46</v>
      </c>
    </row>
    <row r="112" spans="1:7" hidden="1" x14ac:dyDescent="0.35">
      <c r="A112" s="1" t="s">
        <v>28</v>
      </c>
      <c r="B112" s="1" t="s">
        <v>23</v>
      </c>
      <c r="C112" s="1" t="s">
        <v>33</v>
      </c>
      <c r="D112" s="2">
        <v>44587</v>
      </c>
      <c r="E112" s="2" t="str">
        <f t="shared" si="1"/>
        <v>Jan</v>
      </c>
      <c r="F112" s="1">
        <v>4759.75</v>
      </c>
      <c r="G112" s="1">
        <v>96</v>
      </c>
    </row>
    <row r="113" spans="1:7" hidden="1" x14ac:dyDescent="0.35">
      <c r="A113" s="1" t="s">
        <v>20</v>
      </c>
      <c r="B113" s="1" t="s">
        <v>24</v>
      </c>
      <c r="C113" s="1" t="s">
        <v>18</v>
      </c>
      <c r="D113" s="2">
        <v>44642</v>
      </c>
      <c r="E113" s="2" t="str">
        <f t="shared" si="1"/>
        <v>Mar</v>
      </c>
      <c r="F113" s="1">
        <v>19576.41</v>
      </c>
      <c r="G113" s="1">
        <v>402</v>
      </c>
    </row>
    <row r="114" spans="1:7" hidden="1" x14ac:dyDescent="0.35">
      <c r="A114" s="1" t="s">
        <v>16</v>
      </c>
      <c r="B114" s="1" t="s">
        <v>24</v>
      </c>
      <c r="C114" s="1" t="s">
        <v>17</v>
      </c>
      <c r="D114" s="2">
        <v>44732</v>
      </c>
      <c r="E114" s="2" t="str">
        <f t="shared" si="1"/>
        <v>Jun</v>
      </c>
      <c r="F114" s="1">
        <v>4824.9399999999996</v>
      </c>
      <c r="G114" s="1">
        <v>235</v>
      </c>
    </row>
    <row r="115" spans="1:7" hidden="1" x14ac:dyDescent="0.35">
      <c r="A115" s="1" t="s">
        <v>20</v>
      </c>
      <c r="B115" s="1" t="s">
        <v>7</v>
      </c>
      <c r="C115" s="1" t="s">
        <v>27</v>
      </c>
      <c r="D115" s="2">
        <v>44700</v>
      </c>
      <c r="E115" s="2" t="str">
        <f t="shared" si="1"/>
        <v>May</v>
      </c>
      <c r="F115" s="1">
        <v>5555.52</v>
      </c>
      <c r="G115" s="1">
        <v>150</v>
      </c>
    </row>
    <row r="116" spans="1:7" hidden="1" x14ac:dyDescent="0.35">
      <c r="A116" s="1" t="s">
        <v>6</v>
      </c>
      <c r="B116" s="1" t="s">
        <v>24</v>
      </c>
      <c r="C116" s="1" t="s">
        <v>8</v>
      </c>
      <c r="D116" s="2">
        <v>44589</v>
      </c>
      <c r="E116" s="2" t="str">
        <f t="shared" si="1"/>
        <v>Jan</v>
      </c>
      <c r="F116" s="1">
        <v>6004.2</v>
      </c>
      <c r="G116" s="1">
        <v>126</v>
      </c>
    </row>
    <row r="117" spans="1:7" hidden="1" x14ac:dyDescent="0.35">
      <c r="A117" s="1" t="s">
        <v>16</v>
      </c>
      <c r="B117" s="1" t="s">
        <v>24</v>
      </c>
      <c r="C117" s="1" t="s">
        <v>36</v>
      </c>
      <c r="D117" s="2">
        <v>44657</v>
      </c>
      <c r="E117" s="2" t="str">
        <f t="shared" si="1"/>
        <v>Apr</v>
      </c>
      <c r="F117" s="1">
        <v>12369.81</v>
      </c>
      <c r="G117" s="1">
        <v>456</v>
      </c>
    </row>
    <row r="118" spans="1:7" hidden="1" x14ac:dyDescent="0.35">
      <c r="A118" s="1" t="s">
        <v>21</v>
      </c>
      <c r="B118" s="1" t="s">
        <v>10</v>
      </c>
      <c r="C118" s="1" t="s">
        <v>17</v>
      </c>
      <c r="D118" s="2">
        <v>44704</v>
      </c>
      <c r="E118" s="2" t="str">
        <f t="shared" si="1"/>
        <v>May</v>
      </c>
      <c r="F118" s="1">
        <v>861.89</v>
      </c>
      <c r="G118" s="1">
        <v>29</v>
      </c>
    </row>
    <row r="119" spans="1:7" hidden="1" x14ac:dyDescent="0.35">
      <c r="A119" s="1" t="s">
        <v>26</v>
      </c>
      <c r="B119" s="1" t="s">
        <v>23</v>
      </c>
      <c r="C119" s="1" t="s">
        <v>29</v>
      </c>
      <c r="D119" s="2">
        <v>44631</v>
      </c>
      <c r="E119" s="2" t="str">
        <f t="shared" si="1"/>
        <v>Mar</v>
      </c>
      <c r="F119" s="1">
        <v>6048.32</v>
      </c>
      <c r="G119" s="1">
        <v>360</v>
      </c>
    </row>
    <row r="120" spans="1:7" hidden="1" x14ac:dyDescent="0.35">
      <c r="A120" s="1" t="s">
        <v>16</v>
      </c>
      <c r="B120" s="1" t="s">
        <v>12</v>
      </c>
      <c r="C120" s="1" t="s">
        <v>13</v>
      </c>
      <c r="D120" s="2">
        <v>44714</v>
      </c>
      <c r="E120" s="2" t="str">
        <f t="shared" si="1"/>
        <v>Jun</v>
      </c>
      <c r="F120" s="1">
        <v>15051.5</v>
      </c>
      <c r="G120" s="1">
        <v>418</v>
      </c>
    </row>
    <row r="121" spans="1:7" hidden="1" x14ac:dyDescent="0.35">
      <c r="A121" s="1" t="s">
        <v>34</v>
      </c>
      <c r="B121" s="1" t="s">
        <v>10</v>
      </c>
      <c r="C121" s="1" t="s">
        <v>31</v>
      </c>
      <c r="D121" s="2">
        <v>44699</v>
      </c>
      <c r="E121" s="2" t="str">
        <f t="shared" si="1"/>
        <v>May</v>
      </c>
      <c r="F121" s="1">
        <v>756.72</v>
      </c>
      <c r="G121" s="1">
        <v>24</v>
      </c>
    </row>
    <row r="122" spans="1:7" hidden="1" x14ac:dyDescent="0.35">
      <c r="A122" s="1" t="s">
        <v>20</v>
      </c>
      <c r="B122" s="1" t="s">
        <v>7</v>
      </c>
      <c r="C122" s="1" t="s">
        <v>15</v>
      </c>
      <c r="D122" s="2">
        <v>44734</v>
      </c>
      <c r="E122" s="2" t="str">
        <f t="shared" si="1"/>
        <v>Jun</v>
      </c>
      <c r="F122" s="1">
        <v>534.64</v>
      </c>
      <c r="G122" s="1">
        <v>22</v>
      </c>
    </row>
    <row r="123" spans="1:7" hidden="1" x14ac:dyDescent="0.35">
      <c r="A123" s="1" t="s">
        <v>26</v>
      </c>
      <c r="B123" s="1" t="s">
        <v>7</v>
      </c>
      <c r="C123" s="1" t="s">
        <v>8</v>
      </c>
      <c r="D123" s="2">
        <v>44662</v>
      </c>
      <c r="E123" s="2" t="str">
        <f t="shared" si="1"/>
        <v>Apr</v>
      </c>
      <c r="F123" s="1">
        <v>12424.63</v>
      </c>
      <c r="G123" s="1">
        <v>360</v>
      </c>
    </row>
    <row r="124" spans="1:7" hidden="1" x14ac:dyDescent="0.35">
      <c r="A124" s="1" t="s">
        <v>28</v>
      </c>
      <c r="B124" s="1" t="s">
        <v>12</v>
      </c>
      <c r="C124" s="1" t="s">
        <v>25</v>
      </c>
      <c r="D124" s="2">
        <v>44699</v>
      </c>
      <c r="E124" s="2" t="str">
        <f t="shared" si="1"/>
        <v>May</v>
      </c>
      <c r="F124" s="1">
        <v>15136.25</v>
      </c>
      <c r="G124" s="1">
        <v>354</v>
      </c>
    </row>
    <row r="125" spans="1:7" hidden="1" x14ac:dyDescent="0.35">
      <c r="A125" s="1" t="s">
        <v>28</v>
      </c>
      <c r="B125" s="1" t="s">
        <v>10</v>
      </c>
      <c r="C125" s="1" t="s">
        <v>25</v>
      </c>
      <c r="D125" s="2">
        <v>44648</v>
      </c>
      <c r="E125" s="2" t="str">
        <f t="shared" si="1"/>
        <v>Mar</v>
      </c>
      <c r="F125" s="1">
        <v>580.35</v>
      </c>
      <c r="G125" s="1">
        <v>31</v>
      </c>
    </row>
    <row r="126" spans="1:7" hidden="1" x14ac:dyDescent="0.35">
      <c r="A126" s="1" t="s">
        <v>11</v>
      </c>
      <c r="B126" s="1" t="s">
        <v>12</v>
      </c>
      <c r="C126" s="1" t="s">
        <v>33</v>
      </c>
      <c r="D126" s="2">
        <v>44803</v>
      </c>
      <c r="E126" s="2" t="str">
        <f t="shared" si="1"/>
        <v>Aug</v>
      </c>
      <c r="F126" s="1">
        <v>5804.87</v>
      </c>
      <c r="G126" s="1">
        <v>119</v>
      </c>
    </row>
    <row r="127" spans="1:7" hidden="1" x14ac:dyDescent="0.35">
      <c r="A127" s="1" t="s">
        <v>21</v>
      </c>
      <c r="B127" s="1" t="s">
        <v>14</v>
      </c>
      <c r="C127" s="1" t="s">
        <v>25</v>
      </c>
      <c r="D127" s="2">
        <v>44591</v>
      </c>
      <c r="E127" s="2" t="str">
        <f t="shared" si="1"/>
        <v>Jan</v>
      </c>
      <c r="F127" s="1">
        <v>23152.04</v>
      </c>
      <c r="G127" s="1">
        <v>487</v>
      </c>
    </row>
    <row r="128" spans="1:7" hidden="1" x14ac:dyDescent="0.35">
      <c r="A128" s="1" t="s">
        <v>34</v>
      </c>
      <c r="B128" s="1" t="s">
        <v>7</v>
      </c>
      <c r="C128" s="1" t="s">
        <v>36</v>
      </c>
      <c r="D128" s="2">
        <v>44792</v>
      </c>
      <c r="E128" s="2" t="str">
        <f t="shared" si="1"/>
        <v>Aug</v>
      </c>
      <c r="F128" s="1">
        <v>6174.38</v>
      </c>
      <c r="G128" s="1">
        <v>232</v>
      </c>
    </row>
    <row r="129" spans="1:7" hidden="1" x14ac:dyDescent="0.35">
      <c r="A129" s="1" t="s">
        <v>6</v>
      </c>
      <c r="B129" s="1" t="s">
        <v>12</v>
      </c>
      <c r="C129" s="1" t="s">
        <v>19</v>
      </c>
      <c r="D129" s="2">
        <v>44749</v>
      </c>
      <c r="E129" s="2" t="str">
        <f t="shared" si="1"/>
        <v>Jul</v>
      </c>
      <c r="F129" s="1">
        <v>16619.54</v>
      </c>
      <c r="G129" s="1">
        <v>425</v>
      </c>
    </row>
    <row r="130" spans="1:7" hidden="1" x14ac:dyDescent="0.35">
      <c r="A130" s="1" t="s">
        <v>6</v>
      </c>
      <c r="B130" s="1" t="s">
        <v>14</v>
      </c>
      <c r="C130" s="1" t="s">
        <v>25</v>
      </c>
      <c r="D130" s="2">
        <v>44722</v>
      </c>
      <c r="E130" s="2" t="str">
        <f t="shared" si="1"/>
        <v>Jun</v>
      </c>
      <c r="F130" s="1">
        <v>3214.37</v>
      </c>
      <c r="G130" s="1">
        <v>161</v>
      </c>
    </row>
    <row r="131" spans="1:7" hidden="1" x14ac:dyDescent="0.35">
      <c r="A131" s="1" t="s">
        <v>34</v>
      </c>
      <c r="B131" s="1" t="s">
        <v>23</v>
      </c>
      <c r="C131" s="1" t="s">
        <v>29</v>
      </c>
      <c r="D131" s="2">
        <v>44786</v>
      </c>
      <c r="E131" s="2" t="str">
        <f t="shared" ref="E131:E194" si="2">TEXT(D131, "mmm")</f>
        <v>Aug</v>
      </c>
      <c r="F131" s="1">
        <v>16037.03</v>
      </c>
      <c r="G131" s="1">
        <v>475</v>
      </c>
    </row>
    <row r="132" spans="1:7" hidden="1" x14ac:dyDescent="0.35">
      <c r="A132" s="1" t="s">
        <v>6</v>
      </c>
      <c r="B132" s="1" t="s">
        <v>24</v>
      </c>
      <c r="C132" s="1" t="s">
        <v>33</v>
      </c>
      <c r="D132" s="2">
        <v>44650</v>
      </c>
      <c r="E132" s="2" t="str">
        <f t="shared" si="2"/>
        <v>Mar</v>
      </c>
      <c r="F132" s="1">
        <v>6455.88</v>
      </c>
      <c r="G132" s="1">
        <v>299</v>
      </c>
    </row>
    <row r="133" spans="1:7" hidden="1" x14ac:dyDescent="0.35">
      <c r="A133" s="1" t="s">
        <v>20</v>
      </c>
      <c r="B133" s="1" t="s">
        <v>14</v>
      </c>
      <c r="C133" s="1" t="s">
        <v>36</v>
      </c>
      <c r="D133" s="2">
        <v>44635</v>
      </c>
      <c r="E133" s="2" t="str">
        <f t="shared" si="2"/>
        <v>Mar</v>
      </c>
      <c r="F133" s="1">
        <v>20659.54</v>
      </c>
      <c r="G133" s="1">
        <v>478</v>
      </c>
    </row>
    <row r="134" spans="1:7" hidden="1" x14ac:dyDescent="0.35">
      <c r="A134" s="1" t="s">
        <v>22</v>
      </c>
      <c r="B134" s="1" t="s">
        <v>7</v>
      </c>
      <c r="C134" s="1" t="s">
        <v>31</v>
      </c>
      <c r="D134" s="2">
        <v>44670</v>
      </c>
      <c r="E134" s="2" t="str">
        <f t="shared" si="2"/>
        <v>Apr</v>
      </c>
      <c r="F134" s="1">
        <v>19030.11</v>
      </c>
      <c r="G134" s="1">
        <v>434</v>
      </c>
    </row>
    <row r="135" spans="1:7" hidden="1" x14ac:dyDescent="0.35">
      <c r="A135" s="1" t="s">
        <v>21</v>
      </c>
      <c r="B135" s="1" t="s">
        <v>12</v>
      </c>
      <c r="C135" s="1" t="s">
        <v>27</v>
      </c>
      <c r="D135" s="2">
        <v>44688</v>
      </c>
      <c r="E135" s="2" t="str">
        <f t="shared" si="2"/>
        <v>May</v>
      </c>
      <c r="F135" s="1">
        <v>5042.6099999999997</v>
      </c>
      <c r="G135" s="1">
        <v>140</v>
      </c>
    </row>
    <row r="136" spans="1:7" hidden="1" x14ac:dyDescent="0.35">
      <c r="A136" s="1" t="s">
        <v>16</v>
      </c>
      <c r="B136" s="1" t="s">
        <v>10</v>
      </c>
      <c r="C136" s="1" t="s">
        <v>36</v>
      </c>
      <c r="D136" s="2">
        <v>44603</v>
      </c>
      <c r="E136" s="2" t="str">
        <f t="shared" si="2"/>
        <v>Feb</v>
      </c>
      <c r="F136" s="1">
        <v>15274.46</v>
      </c>
      <c r="G136" s="1">
        <v>350</v>
      </c>
    </row>
    <row r="137" spans="1:7" hidden="1" x14ac:dyDescent="0.35">
      <c r="A137" s="1" t="s">
        <v>34</v>
      </c>
      <c r="B137" s="1" t="s">
        <v>24</v>
      </c>
      <c r="C137" s="1" t="s">
        <v>33</v>
      </c>
      <c r="D137" s="2">
        <v>44636</v>
      </c>
      <c r="E137" s="2" t="str">
        <f t="shared" si="2"/>
        <v>Mar</v>
      </c>
      <c r="F137" s="1">
        <v>13934.58</v>
      </c>
      <c r="G137" s="1">
        <v>498</v>
      </c>
    </row>
    <row r="138" spans="1:7" hidden="1" x14ac:dyDescent="0.35">
      <c r="A138" s="1" t="s">
        <v>6</v>
      </c>
      <c r="B138" s="1" t="s">
        <v>23</v>
      </c>
      <c r="C138" s="1" t="s">
        <v>36</v>
      </c>
      <c r="D138" s="2">
        <v>44786</v>
      </c>
      <c r="E138" s="2" t="str">
        <f t="shared" si="2"/>
        <v>Aug</v>
      </c>
      <c r="F138" s="1">
        <v>858.68</v>
      </c>
      <c r="G138" s="1">
        <v>73</v>
      </c>
    </row>
    <row r="139" spans="1:7" hidden="1" x14ac:dyDescent="0.35">
      <c r="A139" s="1" t="s">
        <v>11</v>
      </c>
      <c r="B139" s="1" t="s">
        <v>12</v>
      </c>
      <c r="C139" s="1" t="s">
        <v>27</v>
      </c>
      <c r="D139" s="2">
        <v>44682</v>
      </c>
      <c r="E139" s="2" t="str">
        <f t="shared" si="2"/>
        <v>May</v>
      </c>
      <c r="F139" s="1">
        <v>10382.299999999999</v>
      </c>
      <c r="G139" s="1">
        <v>390</v>
      </c>
    </row>
    <row r="140" spans="1:7" hidden="1" x14ac:dyDescent="0.35">
      <c r="A140" s="1" t="s">
        <v>22</v>
      </c>
      <c r="B140" s="1" t="s">
        <v>24</v>
      </c>
      <c r="C140" s="1" t="s">
        <v>27</v>
      </c>
      <c r="D140" s="2">
        <v>44588</v>
      </c>
      <c r="E140" s="2" t="str">
        <f t="shared" si="2"/>
        <v>Jan</v>
      </c>
      <c r="F140" s="1">
        <v>7825.06</v>
      </c>
      <c r="G140" s="1">
        <v>499</v>
      </c>
    </row>
    <row r="141" spans="1:7" hidden="1" x14ac:dyDescent="0.35">
      <c r="A141" s="1" t="s">
        <v>34</v>
      </c>
      <c r="B141" s="1" t="s">
        <v>7</v>
      </c>
      <c r="C141" s="1" t="s">
        <v>35</v>
      </c>
      <c r="D141" s="2">
        <v>44700</v>
      </c>
      <c r="E141" s="2" t="str">
        <f t="shared" si="2"/>
        <v>May</v>
      </c>
      <c r="F141" s="1">
        <v>329</v>
      </c>
      <c r="G141" s="1">
        <v>16</v>
      </c>
    </row>
    <row r="142" spans="1:7" hidden="1" x14ac:dyDescent="0.35">
      <c r="A142" s="1" t="s">
        <v>20</v>
      </c>
      <c r="B142" s="1" t="s">
        <v>23</v>
      </c>
      <c r="C142" s="1" t="s">
        <v>18</v>
      </c>
      <c r="D142" s="2">
        <v>44746</v>
      </c>
      <c r="E142" s="2" t="str">
        <f t="shared" si="2"/>
        <v>Jul</v>
      </c>
      <c r="F142" s="1">
        <v>7014.04</v>
      </c>
      <c r="G142" s="1">
        <v>191</v>
      </c>
    </row>
    <row r="143" spans="1:7" hidden="1" x14ac:dyDescent="0.35">
      <c r="A143" s="1" t="s">
        <v>22</v>
      </c>
      <c r="B143" s="1" t="s">
        <v>12</v>
      </c>
      <c r="C143" s="1" t="s">
        <v>35</v>
      </c>
      <c r="D143" s="2">
        <v>44563</v>
      </c>
      <c r="E143" s="2" t="str">
        <f t="shared" si="2"/>
        <v>Jan</v>
      </c>
      <c r="F143" s="1">
        <v>9390.2800000000007</v>
      </c>
      <c r="G143" s="1">
        <v>433</v>
      </c>
    </row>
    <row r="144" spans="1:7" hidden="1" x14ac:dyDescent="0.35">
      <c r="A144" s="1" t="s">
        <v>21</v>
      </c>
      <c r="B144" s="1" t="s">
        <v>14</v>
      </c>
      <c r="C144" s="1" t="s">
        <v>36</v>
      </c>
      <c r="D144" s="2">
        <v>44799</v>
      </c>
      <c r="E144" s="2" t="str">
        <f t="shared" si="2"/>
        <v>Aug</v>
      </c>
      <c r="F144" s="1">
        <v>3368.14</v>
      </c>
      <c r="G144" s="1">
        <v>279</v>
      </c>
    </row>
    <row r="145" spans="1:7" hidden="1" x14ac:dyDescent="0.35">
      <c r="A145" s="1" t="s">
        <v>22</v>
      </c>
      <c r="B145" s="1" t="s">
        <v>23</v>
      </c>
      <c r="C145" s="1" t="s">
        <v>8</v>
      </c>
      <c r="D145" s="2">
        <v>44773</v>
      </c>
      <c r="E145" s="2" t="str">
        <f t="shared" si="2"/>
        <v>Jul</v>
      </c>
      <c r="F145" s="1">
        <v>2200.4</v>
      </c>
      <c r="G145" s="1">
        <v>152</v>
      </c>
    </row>
    <row r="146" spans="1:7" hidden="1" x14ac:dyDescent="0.35">
      <c r="A146" s="1" t="s">
        <v>16</v>
      </c>
      <c r="B146" s="1" t="s">
        <v>14</v>
      </c>
      <c r="C146" s="1" t="s">
        <v>25</v>
      </c>
      <c r="D146" s="2">
        <v>44723</v>
      </c>
      <c r="E146" s="2" t="str">
        <f t="shared" si="2"/>
        <v>Jun</v>
      </c>
      <c r="F146" s="1">
        <v>381.6</v>
      </c>
      <c r="G146" s="1">
        <v>23</v>
      </c>
    </row>
    <row r="147" spans="1:7" hidden="1" x14ac:dyDescent="0.35">
      <c r="A147" s="1" t="s">
        <v>6</v>
      </c>
      <c r="B147" s="1" t="s">
        <v>24</v>
      </c>
      <c r="C147" s="1" t="s">
        <v>13</v>
      </c>
      <c r="D147" s="2">
        <v>44618</v>
      </c>
      <c r="E147" s="2" t="str">
        <f t="shared" si="2"/>
        <v>Feb</v>
      </c>
      <c r="F147" s="1">
        <v>16452.13</v>
      </c>
      <c r="G147" s="1">
        <v>440</v>
      </c>
    </row>
    <row r="148" spans="1:7" hidden="1" x14ac:dyDescent="0.35">
      <c r="A148" s="1" t="s">
        <v>21</v>
      </c>
      <c r="B148" s="1" t="s">
        <v>12</v>
      </c>
      <c r="C148" s="1" t="s">
        <v>17</v>
      </c>
      <c r="D148" s="2">
        <v>44744</v>
      </c>
      <c r="E148" s="2" t="str">
        <f t="shared" si="2"/>
        <v>Jul</v>
      </c>
      <c r="F148" s="1">
        <v>7364.22</v>
      </c>
      <c r="G148" s="1">
        <v>306</v>
      </c>
    </row>
    <row r="149" spans="1:7" hidden="1" x14ac:dyDescent="0.35">
      <c r="A149" s="1" t="s">
        <v>22</v>
      </c>
      <c r="B149" s="1" t="s">
        <v>24</v>
      </c>
      <c r="C149" s="1" t="s">
        <v>25</v>
      </c>
      <c r="D149" s="2">
        <v>44713</v>
      </c>
      <c r="E149" s="2" t="str">
        <f t="shared" si="2"/>
        <v>Jun</v>
      </c>
      <c r="F149" s="1">
        <v>11031.64</v>
      </c>
      <c r="G149" s="1">
        <v>300</v>
      </c>
    </row>
    <row r="150" spans="1:7" x14ac:dyDescent="0.35">
      <c r="A150" s="1" t="s">
        <v>9</v>
      </c>
      <c r="B150" s="1" t="s">
        <v>12</v>
      </c>
      <c r="C150" s="1" t="s">
        <v>29</v>
      </c>
      <c r="D150" s="2">
        <v>44616</v>
      </c>
      <c r="E150" s="2" t="str">
        <f t="shared" si="2"/>
        <v>Feb</v>
      </c>
      <c r="F150" s="1">
        <v>715.01</v>
      </c>
      <c r="G150" s="1">
        <v>37</v>
      </c>
    </row>
    <row r="151" spans="1:7" hidden="1" x14ac:dyDescent="0.35">
      <c r="A151" s="1" t="s">
        <v>11</v>
      </c>
      <c r="B151" s="1" t="s">
        <v>7</v>
      </c>
      <c r="C151" s="1" t="s">
        <v>15</v>
      </c>
      <c r="D151" s="2">
        <v>44621</v>
      </c>
      <c r="E151" s="2" t="str">
        <f t="shared" si="2"/>
        <v>Mar</v>
      </c>
      <c r="F151" s="1">
        <v>5699.19</v>
      </c>
      <c r="G151" s="1">
        <v>197</v>
      </c>
    </row>
    <row r="152" spans="1:7" hidden="1" x14ac:dyDescent="0.35">
      <c r="A152" s="1" t="s">
        <v>26</v>
      </c>
      <c r="B152" s="1" t="s">
        <v>12</v>
      </c>
      <c r="C152" s="1" t="s">
        <v>36</v>
      </c>
      <c r="D152" s="2">
        <v>44608</v>
      </c>
      <c r="E152" s="2" t="str">
        <f t="shared" si="2"/>
        <v>Feb</v>
      </c>
      <c r="F152" s="1">
        <v>7524.98</v>
      </c>
      <c r="G152" s="1">
        <v>189</v>
      </c>
    </row>
    <row r="153" spans="1:7" hidden="1" x14ac:dyDescent="0.35">
      <c r="A153" s="1" t="s">
        <v>16</v>
      </c>
      <c r="B153" s="1" t="s">
        <v>23</v>
      </c>
      <c r="C153" s="1" t="s">
        <v>27</v>
      </c>
      <c r="D153" s="2">
        <v>44562</v>
      </c>
      <c r="E153" s="2" t="str">
        <f t="shared" si="2"/>
        <v>Jan</v>
      </c>
      <c r="F153" s="1">
        <v>10002.879999999999</v>
      </c>
      <c r="G153" s="1">
        <v>253</v>
      </c>
    </row>
    <row r="154" spans="1:7" hidden="1" x14ac:dyDescent="0.35">
      <c r="A154" s="1" t="s">
        <v>28</v>
      </c>
      <c r="B154" s="1" t="s">
        <v>14</v>
      </c>
      <c r="C154" s="1" t="s">
        <v>27</v>
      </c>
      <c r="D154" s="2">
        <v>44710</v>
      </c>
      <c r="E154" s="2" t="str">
        <f t="shared" si="2"/>
        <v>May</v>
      </c>
      <c r="F154" s="1">
        <v>3812.45</v>
      </c>
      <c r="G154" s="1">
        <v>85</v>
      </c>
    </row>
    <row r="155" spans="1:7" hidden="1" x14ac:dyDescent="0.35">
      <c r="A155" s="1" t="s">
        <v>6</v>
      </c>
      <c r="B155" s="1" t="s">
        <v>23</v>
      </c>
      <c r="C155" s="1" t="s">
        <v>33</v>
      </c>
      <c r="D155" s="2">
        <v>44776</v>
      </c>
      <c r="E155" s="2" t="str">
        <f t="shared" si="2"/>
        <v>Aug</v>
      </c>
      <c r="F155" s="1">
        <v>6717.5</v>
      </c>
      <c r="G155" s="1">
        <v>354</v>
      </c>
    </row>
    <row r="156" spans="1:7" hidden="1" x14ac:dyDescent="0.35">
      <c r="A156" s="1" t="s">
        <v>11</v>
      </c>
      <c r="B156" s="1" t="s">
        <v>23</v>
      </c>
      <c r="C156" s="1" t="s">
        <v>19</v>
      </c>
      <c r="D156" s="2">
        <v>44690</v>
      </c>
      <c r="E156" s="2" t="str">
        <f t="shared" si="2"/>
        <v>May</v>
      </c>
      <c r="F156" s="1">
        <v>8326.18</v>
      </c>
      <c r="G156" s="1">
        <v>167</v>
      </c>
    </row>
    <row r="157" spans="1:7" hidden="1" x14ac:dyDescent="0.35">
      <c r="A157" s="1" t="s">
        <v>20</v>
      </c>
      <c r="B157" s="1" t="s">
        <v>14</v>
      </c>
      <c r="C157" s="1" t="s">
        <v>15</v>
      </c>
      <c r="D157" s="2">
        <v>44592</v>
      </c>
      <c r="E157" s="2" t="str">
        <f t="shared" si="2"/>
        <v>Jan</v>
      </c>
      <c r="F157" s="1">
        <v>5177.5</v>
      </c>
      <c r="G157" s="1">
        <v>120</v>
      </c>
    </row>
    <row r="158" spans="1:7" hidden="1" x14ac:dyDescent="0.35">
      <c r="A158" s="1" t="s">
        <v>26</v>
      </c>
      <c r="B158" s="1" t="s">
        <v>12</v>
      </c>
      <c r="C158" s="1" t="s">
        <v>13</v>
      </c>
      <c r="D158" s="2">
        <v>44744</v>
      </c>
      <c r="E158" s="2" t="str">
        <f t="shared" si="2"/>
        <v>Jul</v>
      </c>
      <c r="F158" s="1">
        <v>12188.95</v>
      </c>
      <c r="G158" s="1">
        <v>362</v>
      </c>
    </row>
    <row r="159" spans="1:7" hidden="1" x14ac:dyDescent="0.35">
      <c r="A159" s="1" t="s">
        <v>22</v>
      </c>
      <c r="B159" s="1" t="s">
        <v>12</v>
      </c>
      <c r="C159" s="1" t="s">
        <v>27</v>
      </c>
      <c r="D159" s="2">
        <v>44765</v>
      </c>
      <c r="E159" s="2" t="str">
        <f t="shared" si="2"/>
        <v>Jul</v>
      </c>
      <c r="F159" s="1">
        <v>1225.4100000000001</v>
      </c>
      <c r="G159" s="1">
        <v>80</v>
      </c>
    </row>
    <row r="160" spans="1:7" hidden="1" x14ac:dyDescent="0.35">
      <c r="A160" s="1" t="s">
        <v>28</v>
      </c>
      <c r="B160" s="1" t="s">
        <v>10</v>
      </c>
      <c r="C160" s="1" t="s">
        <v>19</v>
      </c>
      <c r="D160" s="2">
        <v>44679</v>
      </c>
      <c r="E160" s="2" t="str">
        <f t="shared" si="2"/>
        <v>Apr</v>
      </c>
      <c r="F160" s="1">
        <v>16191.56</v>
      </c>
      <c r="G160" s="1">
        <v>422</v>
      </c>
    </row>
    <row r="161" spans="1:7" hidden="1" x14ac:dyDescent="0.35">
      <c r="A161" s="1" t="s">
        <v>22</v>
      </c>
      <c r="B161" s="1" t="s">
        <v>14</v>
      </c>
      <c r="C161" s="1" t="s">
        <v>17</v>
      </c>
      <c r="D161" s="2">
        <v>44682</v>
      </c>
      <c r="E161" s="2" t="str">
        <f t="shared" si="2"/>
        <v>May</v>
      </c>
      <c r="F161" s="1">
        <v>10095.379999999999</v>
      </c>
      <c r="G161" s="1">
        <v>364</v>
      </c>
    </row>
    <row r="162" spans="1:7" hidden="1" x14ac:dyDescent="0.35">
      <c r="A162" s="1" t="s">
        <v>26</v>
      </c>
      <c r="B162" s="1" t="s">
        <v>24</v>
      </c>
      <c r="C162" s="1" t="s">
        <v>17</v>
      </c>
      <c r="D162" s="2">
        <v>44644</v>
      </c>
      <c r="E162" s="2" t="str">
        <f t="shared" si="2"/>
        <v>Mar</v>
      </c>
      <c r="F162" s="1">
        <v>8901.98</v>
      </c>
      <c r="G162" s="1">
        <v>335</v>
      </c>
    </row>
    <row r="163" spans="1:7" x14ac:dyDescent="0.35">
      <c r="A163" s="1" t="s">
        <v>9</v>
      </c>
      <c r="B163" s="1" t="s">
        <v>12</v>
      </c>
      <c r="C163" s="1" t="s">
        <v>31</v>
      </c>
      <c r="D163" s="2">
        <v>44793</v>
      </c>
      <c r="E163" s="2" t="str">
        <f t="shared" si="2"/>
        <v>Aug</v>
      </c>
      <c r="F163" s="1">
        <v>1761.2</v>
      </c>
      <c r="G163" s="1">
        <v>138</v>
      </c>
    </row>
    <row r="164" spans="1:7" hidden="1" x14ac:dyDescent="0.35">
      <c r="A164" s="1" t="s">
        <v>26</v>
      </c>
      <c r="B164" s="1" t="s">
        <v>10</v>
      </c>
      <c r="C164" s="1" t="s">
        <v>18</v>
      </c>
      <c r="D164" s="2">
        <v>44683</v>
      </c>
      <c r="E164" s="2" t="str">
        <f t="shared" si="2"/>
        <v>May</v>
      </c>
      <c r="F164" s="1">
        <v>15189.5</v>
      </c>
      <c r="G164" s="1">
        <v>308</v>
      </c>
    </row>
    <row r="165" spans="1:7" hidden="1" x14ac:dyDescent="0.35">
      <c r="A165" s="1" t="s">
        <v>11</v>
      </c>
      <c r="B165" s="1" t="s">
        <v>24</v>
      </c>
      <c r="C165" s="1" t="s">
        <v>35</v>
      </c>
      <c r="D165" s="2">
        <v>44588</v>
      </c>
      <c r="E165" s="2" t="str">
        <f t="shared" si="2"/>
        <v>Jan</v>
      </c>
      <c r="F165" s="1">
        <v>7077.02</v>
      </c>
      <c r="G165" s="1">
        <v>189</v>
      </c>
    </row>
    <row r="166" spans="1:7" hidden="1" x14ac:dyDescent="0.35">
      <c r="A166" s="1" t="s">
        <v>16</v>
      </c>
      <c r="B166" s="1" t="s">
        <v>23</v>
      </c>
      <c r="C166" s="1" t="s">
        <v>19</v>
      </c>
      <c r="D166" s="2">
        <v>44733</v>
      </c>
      <c r="E166" s="2" t="str">
        <f t="shared" si="2"/>
        <v>Jun</v>
      </c>
      <c r="F166" s="1">
        <v>16495.37</v>
      </c>
      <c r="G166" s="1">
        <v>424</v>
      </c>
    </row>
    <row r="167" spans="1:7" hidden="1" x14ac:dyDescent="0.35">
      <c r="A167" s="1" t="s">
        <v>21</v>
      </c>
      <c r="B167" s="1" t="s">
        <v>10</v>
      </c>
      <c r="C167" s="1" t="s">
        <v>29</v>
      </c>
      <c r="D167" s="2">
        <v>44619</v>
      </c>
      <c r="E167" s="2" t="str">
        <f t="shared" si="2"/>
        <v>Feb</v>
      </c>
      <c r="F167" s="1">
        <v>6530.73</v>
      </c>
      <c r="G167" s="1">
        <v>215</v>
      </c>
    </row>
    <row r="168" spans="1:7" hidden="1" x14ac:dyDescent="0.35">
      <c r="A168" s="1" t="s">
        <v>21</v>
      </c>
      <c r="B168" s="1" t="s">
        <v>23</v>
      </c>
      <c r="C168" s="1" t="s">
        <v>31</v>
      </c>
      <c r="D168" s="2">
        <v>44717</v>
      </c>
      <c r="E168" s="2" t="str">
        <f t="shared" si="2"/>
        <v>Jun</v>
      </c>
      <c r="F168" s="1">
        <v>12915.63</v>
      </c>
      <c r="G168" s="1">
        <v>388</v>
      </c>
    </row>
    <row r="169" spans="1:7" hidden="1" x14ac:dyDescent="0.35">
      <c r="A169" s="1" t="s">
        <v>20</v>
      </c>
      <c r="B169" s="1" t="s">
        <v>7</v>
      </c>
      <c r="C169" s="1" t="s">
        <v>32</v>
      </c>
      <c r="D169" s="2">
        <v>44779</v>
      </c>
      <c r="E169" s="2" t="str">
        <f t="shared" si="2"/>
        <v>Aug</v>
      </c>
      <c r="F169" s="1">
        <v>16425.05</v>
      </c>
      <c r="G169" s="1">
        <v>375</v>
      </c>
    </row>
    <row r="170" spans="1:7" hidden="1" x14ac:dyDescent="0.35">
      <c r="A170" s="1" t="s">
        <v>22</v>
      </c>
      <c r="B170" s="1" t="s">
        <v>23</v>
      </c>
      <c r="C170" s="1" t="s">
        <v>27</v>
      </c>
      <c r="D170" s="2">
        <v>44724</v>
      </c>
      <c r="E170" s="2" t="str">
        <f t="shared" si="2"/>
        <v>Jun</v>
      </c>
      <c r="F170" s="1">
        <v>6775</v>
      </c>
      <c r="G170" s="1">
        <v>352</v>
      </c>
    </row>
    <row r="171" spans="1:7" hidden="1" x14ac:dyDescent="0.35">
      <c r="A171" s="1" t="s">
        <v>6</v>
      </c>
      <c r="B171" s="1" t="s">
        <v>7</v>
      </c>
      <c r="C171" s="1" t="s">
        <v>17</v>
      </c>
      <c r="D171" s="2">
        <v>44644</v>
      </c>
      <c r="E171" s="2" t="str">
        <f t="shared" si="2"/>
        <v>Mar</v>
      </c>
      <c r="F171" s="1">
        <v>4553.78</v>
      </c>
      <c r="G171" s="1">
        <v>237</v>
      </c>
    </row>
    <row r="172" spans="1:7" hidden="1" x14ac:dyDescent="0.35">
      <c r="A172" s="1" t="s">
        <v>28</v>
      </c>
      <c r="B172" s="1" t="s">
        <v>24</v>
      </c>
      <c r="C172" s="1" t="s">
        <v>35</v>
      </c>
      <c r="D172" s="2">
        <v>44668</v>
      </c>
      <c r="E172" s="2" t="str">
        <f t="shared" si="2"/>
        <v>Apr</v>
      </c>
      <c r="F172" s="1">
        <v>20895.189999999999</v>
      </c>
      <c r="G172" s="1">
        <v>482</v>
      </c>
    </row>
    <row r="173" spans="1:7" hidden="1" x14ac:dyDescent="0.35">
      <c r="A173" s="1" t="s">
        <v>16</v>
      </c>
      <c r="B173" s="1" t="s">
        <v>10</v>
      </c>
      <c r="C173" s="1" t="s">
        <v>32</v>
      </c>
      <c r="D173" s="2">
        <v>44758</v>
      </c>
      <c r="E173" s="2" t="str">
        <f t="shared" si="2"/>
        <v>Jul</v>
      </c>
      <c r="F173" s="1">
        <v>14822.36</v>
      </c>
      <c r="G173" s="1">
        <v>318</v>
      </c>
    </row>
    <row r="174" spans="1:7" x14ac:dyDescent="0.35">
      <c r="A174" s="1" t="s">
        <v>9</v>
      </c>
      <c r="B174" s="1" t="s">
        <v>14</v>
      </c>
      <c r="C174" s="1" t="s">
        <v>18</v>
      </c>
      <c r="D174" s="2">
        <v>44647</v>
      </c>
      <c r="E174" s="2" t="str">
        <f t="shared" si="2"/>
        <v>Mar</v>
      </c>
      <c r="F174" s="1">
        <v>3428.81</v>
      </c>
      <c r="G174" s="1">
        <v>225</v>
      </c>
    </row>
    <row r="175" spans="1:7" hidden="1" x14ac:dyDescent="0.35">
      <c r="A175" s="1" t="s">
        <v>34</v>
      </c>
      <c r="B175" s="1" t="s">
        <v>24</v>
      </c>
      <c r="C175" s="1" t="s">
        <v>32</v>
      </c>
      <c r="D175" s="2">
        <v>44722</v>
      </c>
      <c r="E175" s="2" t="str">
        <f t="shared" si="2"/>
        <v>Jun</v>
      </c>
      <c r="F175" s="1">
        <v>2925.47</v>
      </c>
      <c r="G175" s="1">
        <v>224</v>
      </c>
    </row>
    <row r="176" spans="1:7" hidden="1" x14ac:dyDescent="0.35">
      <c r="A176" s="1" t="s">
        <v>6</v>
      </c>
      <c r="B176" s="1" t="s">
        <v>7</v>
      </c>
      <c r="C176" s="1" t="s">
        <v>19</v>
      </c>
      <c r="D176" s="2">
        <v>44571</v>
      </c>
      <c r="E176" s="2" t="str">
        <f t="shared" si="2"/>
        <v>Jan</v>
      </c>
      <c r="F176" s="1">
        <v>19444.09</v>
      </c>
      <c r="G176" s="1">
        <v>452</v>
      </c>
    </row>
    <row r="177" spans="1:7" x14ac:dyDescent="0.35">
      <c r="A177" s="1" t="s">
        <v>9</v>
      </c>
      <c r="B177" s="1" t="s">
        <v>10</v>
      </c>
      <c r="C177" s="1" t="s">
        <v>27</v>
      </c>
      <c r="D177" s="2">
        <v>44629</v>
      </c>
      <c r="E177" s="2" t="str">
        <f t="shared" si="2"/>
        <v>Mar</v>
      </c>
      <c r="F177" s="1">
        <v>8591.2000000000007</v>
      </c>
      <c r="G177" s="1">
        <v>176</v>
      </c>
    </row>
    <row r="178" spans="1:7" hidden="1" x14ac:dyDescent="0.35">
      <c r="A178" s="1" t="s">
        <v>6</v>
      </c>
      <c r="B178" s="1" t="s">
        <v>10</v>
      </c>
      <c r="C178" s="1" t="s">
        <v>13</v>
      </c>
      <c r="D178" s="2">
        <v>44681</v>
      </c>
      <c r="E178" s="2" t="str">
        <f t="shared" si="2"/>
        <v>Apr</v>
      </c>
      <c r="F178" s="1">
        <v>2289.16</v>
      </c>
      <c r="G178" s="1">
        <v>167</v>
      </c>
    </row>
    <row r="179" spans="1:7" hidden="1" x14ac:dyDescent="0.35">
      <c r="A179" s="1" t="s">
        <v>11</v>
      </c>
      <c r="B179" s="1" t="s">
        <v>10</v>
      </c>
      <c r="C179" s="1" t="s">
        <v>32</v>
      </c>
      <c r="D179" s="2">
        <v>44713</v>
      </c>
      <c r="E179" s="2" t="str">
        <f t="shared" si="2"/>
        <v>Jun</v>
      </c>
      <c r="F179" s="1">
        <v>6384.11</v>
      </c>
      <c r="G179" s="1">
        <v>265</v>
      </c>
    </row>
    <row r="180" spans="1:7" hidden="1" x14ac:dyDescent="0.35">
      <c r="A180" s="1" t="s">
        <v>6</v>
      </c>
      <c r="B180" s="1" t="s">
        <v>24</v>
      </c>
      <c r="C180" s="1" t="s">
        <v>32</v>
      </c>
      <c r="D180" s="2">
        <v>44571</v>
      </c>
      <c r="E180" s="2" t="str">
        <f t="shared" si="2"/>
        <v>Jan</v>
      </c>
      <c r="F180" s="1">
        <v>2747.98</v>
      </c>
      <c r="G180" s="1">
        <v>115</v>
      </c>
    </row>
    <row r="181" spans="1:7" hidden="1" x14ac:dyDescent="0.35">
      <c r="A181" s="1" t="s">
        <v>28</v>
      </c>
      <c r="B181" s="1" t="s">
        <v>23</v>
      </c>
      <c r="C181" s="1" t="s">
        <v>8</v>
      </c>
      <c r="D181" s="2">
        <v>44678</v>
      </c>
      <c r="E181" s="2" t="str">
        <f t="shared" si="2"/>
        <v>Apr</v>
      </c>
      <c r="F181" s="1">
        <v>6324.87</v>
      </c>
      <c r="G181" s="1">
        <v>296</v>
      </c>
    </row>
    <row r="182" spans="1:7" hidden="1" x14ac:dyDescent="0.35">
      <c r="A182" s="1" t="s">
        <v>28</v>
      </c>
      <c r="B182" s="1" t="s">
        <v>24</v>
      </c>
      <c r="C182" s="1" t="s">
        <v>35</v>
      </c>
      <c r="D182" s="2">
        <v>44580</v>
      </c>
      <c r="E182" s="2" t="str">
        <f t="shared" si="2"/>
        <v>Jan</v>
      </c>
      <c r="F182" s="1">
        <v>4592.38</v>
      </c>
      <c r="G182" s="1">
        <v>155</v>
      </c>
    </row>
    <row r="183" spans="1:7" hidden="1" x14ac:dyDescent="0.35">
      <c r="A183" s="1" t="s">
        <v>22</v>
      </c>
      <c r="B183" s="1" t="s">
        <v>10</v>
      </c>
      <c r="C183" s="1" t="s">
        <v>19</v>
      </c>
      <c r="D183" s="2">
        <v>44710</v>
      </c>
      <c r="E183" s="2" t="str">
        <f t="shared" si="2"/>
        <v>May</v>
      </c>
      <c r="F183" s="1">
        <v>5016.53</v>
      </c>
      <c r="G183" s="1">
        <v>164</v>
      </c>
    </row>
    <row r="184" spans="1:7" x14ac:dyDescent="0.35">
      <c r="A184" s="1" t="s">
        <v>9</v>
      </c>
      <c r="B184" s="1" t="s">
        <v>24</v>
      </c>
      <c r="C184" s="1" t="s">
        <v>35</v>
      </c>
      <c r="D184" s="2">
        <v>44639</v>
      </c>
      <c r="E184" s="2" t="str">
        <f t="shared" si="2"/>
        <v>Mar</v>
      </c>
      <c r="F184" s="1">
        <v>636.78</v>
      </c>
      <c r="G184" s="1">
        <v>43</v>
      </c>
    </row>
    <row r="185" spans="1:7" hidden="1" x14ac:dyDescent="0.35">
      <c r="A185" s="1" t="s">
        <v>28</v>
      </c>
      <c r="B185" s="1" t="s">
        <v>12</v>
      </c>
      <c r="C185" s="1" t="s">
        <v>29</v>
      </c>
      <c r="D185" s="2">
        <v>44648</v>
      </c>
      <c r="E185" s="2" t="str">
        <f t="shared" si="2"/>
        <v>Mar</v>
      </c>
      <c r="F185" s="1">
        <v>2948.69</v>
      </c>
      <c r="G185" s="1">
        <v>189</v>
      </c>
    </row>
    <row r="186" spans="1:7" x14ac:dyDescent="0.35">
      <c r="A186" s="1" t="s">
        <v>9</v>
      </c>
      <c r="B186" s="1" t="s">
        <v>7</v>
      </c>
      <c r="C186" s="1" t="s">
        <v>31</v>
      </c>
      <c r="D186" s="2">
        <v>44670</v>
      </c>
      <c r="E186" s="2" t="str">
        <f t="shared" si="2"/>
        <v>Apr</v>
      </c>
      <c r="F186" s="1">
        <v>19971.419999999998</v>
      </c>
      <c r="G186" s="1">
        <v>463</v>
      </c>
    </row>
    <row r="187" spans="1:7" hidden="1" x14ac:dyDescent="0.35">
      <c r="A187" s="1" t="s">
        <v>26</v>
      </c>
      <c r="B187" s="1" t="s">
        <v>23</v>
      </c>
      <c r="C187" s="1" t="s">
        <v>15</v>
      </c>
      <c r="D187" s="2">
        <v>44730</v>
      </c>
      <c r="E187" s="2" t="str">
        <f t="shared" si="2"/>
        <v>Jun</v>
      </c>
      <c r="F187" s="1">
        <v>8218.19</v>
      </c>
      <c r="G187" s="1">
        <v>439</v>
      </c>
    </row>
    <row r="188" spans="1:7" x14ac:dyDescent="0.35">
      <c r="A188" s="1" t="s">
        <v>9</v>
      </c>
      <c r="B188" s="1" t="s">
        <v>7</v>
      </c>
      <c r="C188" s="1" t="s">
        <v>30</v>
      </c>
      <c r="D188" s="2">
        <v>44763</v>
      </c>
      <c r="E188" s="2" t="str">
        <f t="shared" si="2"/>
        <v>Jul</v>
      </c>
      <c r="F188" s="1">
        <v>4964.03</v>
      </c>
      <c r="G188" s="1">
        <v>225</v>
      </c>
    </row>
    <row r="189" spans="1:7" x14ac:dyDescent="0.35">
      <c r="A189" s="1" t="s">
        <v>9</v>
      </c>
      <c r="B189" s="1" t="s">
        <v>23</v>
      </c>
      <c r="C189" s="1" t="s">
        <v>19</v>
      </c>
      <c r="D189" s="2">
        <v>44613</v>
      </c>
      <c r="E189" s="2" t="str">
        <f t="shared" si="2"/>
        <v>Feb</v>
      </c>
      <c r="F189" s="1">
        <v>7881.92</v>
      </c>
      <c r="G189" s="1">
        <v>253</v>
      </c>
    </row>
    <row r="190" spans="1:7" hidden="1" x14ac:dyDescent="0.35">
      <c r="A190" s="1" t="s">
        <v>20</v>
      </c>
      <c r="B190" s="1" t="s">
        <v>12</v>
      </c>
      <c r="C190" s="1" t="s">
        <v>15</v>
      </c>
      <c r="D190" s="2">
        <v>44801</v>
      </c>
      <c r="E190" s="2" t="str">
        <f t="shared" si="2"/>
        <v>Aug</v>
      </c>
      <c r="F190" s="1">
        <v>15267.53</v>
      </c>
      <c r="G190" s="1">
        <v>321</v>
      </c>
    </row>
    <row r="191" spans="1:7" hidden="1" x14ac:dyDescent="0.35">
      <c r="A191" s="1" t="s">
        <v>20</v>
      </c>
      <c r="B191" s="1" t="s">
        <v>24</v>
      </c>
      <c r="C191" s="1" t="s">
        <v>27</v>
      </c>
      <c r="D191" s="2">
        <v>44653</v>
      </c>
      <c r="E191" s="2" t="str">
        <f t="shared" si="2"/>
        <v>Apr</v>
      </c>
      <c r="F191" s="1">
        <v>16343.94</v>
      </c>
      <c r="G191" s="1">
        <v>485</v>
      </c>
    </row>
    <row r="192" spans="1:7" hidden="1" x14ac:dyDescent="0.35">
      <c r="A192" s="1" t="s">
        <v>16</v>
      </c>
      <c r="B192" s="1" t="s">
        <v>24</v>
      </c>
      <c r="C192" s="1" t="s">
        <v>30</v>
      </c>
      <c r="D192" s="2">
        <v>44567</v>
      </c>
      <c r="E192" s="2" t="str">
        <f t="shared" si="2"/>
        <v>Jan</v>
      </c>
      <c r="F192" s="1">
        <v>10904.55</v>
      </c>
      <c r="G192" s="1">
        <v>236</v>
      </c>
    </row>
    <row r="193" spans="1:7" x14ac:dyDescent="0.35">
      <c r="A193" s="1" t="s">
        <v>9</v>
      </c>
      <c r="B193" s="1" t="s">
        <v>24</v>
      </c>
      <c r="C193" s="1" t="s">
        <v>31</v>
      </c>
      <c r="D193" s="2">
        <v>44758</v>
      </c>
      <c r="E193" s="2" t="str">
        <f t="shared" si="2"/>
        <v>Jul</v>
      </c>
      <c r="F193" s="1">
        <v>3205</v>
      </c>
      <c r="G193" s="1">
        <v>81</v>
      </c>
    </row>
    <row r="194" spans="1:7" hidden="1" x14ac:dyDescent="0.35">
      <c r="A194" s="1" t="s">
        <v>22</v>
      </c>
      <c r="B194" s="1" t="s">
        <v>14</v>
      </c>
      <c r="C194" s="1" t="s">
        <v>31</v>
      </c>
      <c r="D194" s="2">
        <v>44579</v>
      </c>
      <c r="E194" s="2" t="str">
        <f t="shared" si="2"/>
        <v>Jan</v>
      </c>
      <c r="F194" s="1">
        <v>5771.22</v>
      </c>
      <c r="G194" s="1">
        <v>140</v>
      </c>
    </row>
    <row r="195" spans="1:7" hidden="1" x14ac:dyDescent="0.35">
      <c r="A195" s="1" t="s">
        <v>34</v>
      </c>
      <c r="B195" s="1" t="s">
        <v>23</v>
      </c>
      <c r="C195" s="1" t="s">
        <v>33</v>
      </c>
      <c r="D195" s="2">
        <v>44644</v>
      </c>
      <c r="E195" s="2" t="str">
        <f t="shared" ref="E195:E258" si="3">TEXT(D195, "mmm")</f>
        <v>Mar</v>
      </c>
      <c r="F195" s="1">
        <v>3977.2</v>
      </c>
      <c r="G195" s="1">
        <v>80</v>
      </c>
    </row>
    <row r="196" spans="1:7" hidden="1" x14ac:dyDescent="0.35">
      <c r="A196" s="1" t="s">
        <v>21</v>
      </c>
      <c r="B196" s="1" t="s">
        <v>14</v>
      </c>
      <c r="C196" s="1" t="s">
        <v>15</v>
      </c>
      <c r="D196" s="2">
        <v>44613</v>
      </c>
      <c r="E196" s="2" t="str">
        <f t="shared" si="3"/>
        <v>Feb</v>
      </c>
      <c r="F196" s="1">
        <v>8919.5</v>
      </c>
      <c r="G196" s="1">
        <v>363</v>
      </c>
    </row>
    <row r="197" spans="1:7" hidden="1" x14ac:dyDescent="0.35">
      <c r="A197" s="1" t="s">
        <v>34</v>
      </c>
      <c r="B197" s="1" t="s">
        <v>10</v>
      </c>
      <c r="C197" s="1" t="s">
        <v>29</v>
      </c>
      <c r="D197" s="2">
        <v>44657</v>
      </c>
      <c r="E197" s="2" t="str">
        <f t="shared" si="3"/>
        <v>Apr</v>
      </c>
      <c r="F197" s="1">
        <v>23284.44</v>
      </c>
      <c r="G197" s="1">
        <v>499</v>
      </c>
    </row>
    <row r="198" spans="1:7" hidden="1" x14ac:dyDescent="0.35">
      <c r="A198" s="1" t="s">
        <v>20</v>
      </c>
      <c r="B198" s="1" t="s">
        <v>23</v>
      </c>
      <c r="C198" s="1" t="s">
        <v>25</v>
      </c>
      <c r="D198" s="2">
        <v>44678</v>
      </c>
      <c r="E198" s="2" t="str">
        <f t="shared" si="3"/>
        <v>Apr</v>
      </c>
      <c r="F198" s="1">
        <v>4260.4399999999996</v>
      </c>
      <c r="G198" s="1">
        <v>103</v>
      </c>
    </row>
    <row r="199" spans="1:7" hidden="1" x14ac:dyDescent="0.35">
      <c r="A199" s="1" t="s">
        <v>26</v>
      </c>
      <c r="B199" s="1" t="s">
        <v>12</v>
      </c>
      <c r="C199" s="1" t="s">
        <v>18</v>
      </c>
      <c r="D199" s="2">
        <v>44634</v>
      </c>
      <c r="E199" s="2" t="str">
        <f t="shared" si="3"/>
        <v>Mar</v>
      </c>
      <c r="F199" s="1">
        <v>7570.61</v>
      </c>
      <c r="G199" s="1">
        <v>159</v>
      </c>
    </row>
    <row r="200" spans="1:7" x14ac:dyDescent="0.35">
      <c r="A200" s="1" t="s">
        <v>9</v>
      </c>
      <c r="B200" s="1" t="s">
        <v>23</v>
      </c>
      <c r="C200" s="1" t="s">
        <v>13</v>
      </c>
      <c r="D200" s="2">
        <v>44651</v>
      </c>
      <c r="E200" s="2" t="str">
        <f t="shared" si="3"/>
        <v>Mar</v>
      </c>
      <c r="F200" s="1">
        <v>18742.38</v>
      </c>
      <c r="G200" s="1">
        <v>469</v>
      </c>
    </row>
    <row r="201" spans="1:7" hidden="1" x14ac:dyDescent="0.35">
      <c r="A201" s="1" t="s">
        <v>34</v>
      </c>
      <c r="B201" s="1" t="s">
        <v>10</v>
      </c>
      <c r="C201" s="1" t="s">
        <v>35</v>
      </c>
      <c r="D201" s="2">
        <v>44749</v>
      </c>
      <c r="E201" s="2" t="str">
        <f t="shared" si="3"/>
        <v>Jul</v>
      </c>
      <c r="F201" s="1">
        <v>8787.7999999999993</v>
      </c>
      <c r="G201" s="1">
        <v>249</v>
      </c>
    </row>
    <row r="202" spans="1:7" hidden="1" x14ac:dyDescent="0.35">
      <c r="A202" s="1" t="s">
        <v>6</v>
      </c>
      <c r="B202" s="1" t="s">
        <v>14</v>
      </c>
      <c r="C202" s="1" t="s">
        <v>31</v>
      </c>
      <c r="D202" s="2">
        <v>44743</v>
      </c>
      <c r="E202" s="2" t="str">
        <f t="shared" si="3"/>
        <v>Jul</v>
      </c>
      <c r="F202" s="1">
        <v>16253.66</v>
      </c>
      <c r="G202" s="1">
        <v>423</v>
      </c>
    </row>
    <row r="203" spans="1:7" hidden="1" x14ac:dyDescent="0.35">
      <c r="A203" s="1" t="s">
        <v>6</v>
      </c>
      <c r="B203" s="1" t="s">
        <v>12</v>
      </c>
      <c r="C203" s="1" t="s">
        <v>8</v>
      </c>
      <c r="D203" s="2">
        <v>44687</v>
      </c>
      <c r="E203" s="2" t="str">
        <f t="shared" si="3"/>
        <v>May</v>
      </c>
      <c r="F203" s="1">
        <v>10789.63</v>
      </c>
      <c r="G203" s="1">
        <v>436</v>
      </c>
    </row>
    <row r="204" spans="1:7" hidden="1" x14ac:dyDescent="0.35">
      <c r="A204" s="1" t="s">
        <v>22</v>
      </c>
      <c r="B204" s="1" t="s">
        <v>7</v>
      </c>
      <c r="C204" s="1" t="s">
        <v>31</v>
      </c>
      <c r="D204" s="2">
        <v>44640</v>
      </c>
      <c r="E204" s="2" t="str">
        <f t="shared" si="3"/>
        <v>Mar</v>
      </c>
      <c r="F204" s="1">
        <v>841.52</v>
      </c>
      <c r="G204" s="1">
        <v>27</v>
      </c>
    </row>
    <row r="205" spans="1:7" hidden="1" x14ac:dyDescent="0.35">
      <c r="A205" s="1" t="s">
        <v>6</v>
      </c>
      <c r="B205" s="1" t="s">
        <v>10</v>
      </c>
      <c r="C205" s="1" t="s">
        <v>31</v>
      </c>
      <c r="D205" s="2">
        <v>44591</v>
      </c>
      <c r="E205" s="2" t="str">
        <f t="shared" si="3"/>
        <v>Jan</v>
      </c>
      <c r="F205" s="1">
        <v>5926.16</v>
      </c>
      <c r="G205" s="1">
        <v>152</v>
      </c>
    </row>
    <row r="206" spans="1:7" hidden="1" x14ac:dyDescent="0.35">
      <c r="A206" s="1" t="s">
        <v>26</v>
      </c>
      <c r="B206" s="1" t="s">
        <v>23</v>
      </c>
      <c r="C206" s="1" t="s">
        <v>35</v>
      </c>
      <c r="D206" s="2">
        <v>44714</v>
      </c>
      <c r="E206" s="2" t="str">
        <f t="shared" si="3"/>
        <v>Jun</v>
      </c>
      <c r="F206" s="1">
        <v>7066.65</v>
      </c>
      <c r="G206" s="1">
        <v>221</v>
      </c>
    </row>
    <row r="207" spans="1:7" hidden="1" x14ac:dyDescent="0.35">
      <c r="A207" s="1" t="s">
        <v>22</v>
      </c>
      <c r="B207" s="1" t="s">
        <v>14</v>
      </c>
      <c r="C207" s="1" t="s">
        <v>13</v>
      </c>
      <c r="D207" s="2">
        <v>44652</v>
      </c>
      <c r="E207" s="2" t="str">
        <f t="shared" si="3"/>
        <v>Apr</v>
      </c>
      <c r="F207" s="1">
        <v>11533.13</v>
      </c>
      <c r="G207" s="1">
        <v>427</v>
      </c>
    </row>
    <row r="208" spans="1:7" hidden="1" x14ac:dyDescent="0.35">
      <c r="A208" s="1" t="s">
        <v>26</v>
      </c>
      <c r="B208" s="1" t="s">
        <v>23</v>
      </c>
      <c r="C208" s="1" t="s">
        <v>19</v>
      </c>
      <c r="D208" s="2">
        <v>44722</v>
      </c>
      <c r="E208" s="2" t="str">
        <f t="shared" si="3"/>
        <v>Jun</v>
      </c>
      <c r="F208" s="1">
        <v>6390.52</v>
      </c>
      <c r="G208" s="1">
        <v>146</v>
      </c>
    </row>
    <row r="209" spans="1:7" hidden="1" x14ac:dyDescent="0.35">
      <c r="A209" s="1" t="s">
        <v>16</v>
      </c>
      <c r="B209" s="1" t="s">
        <v>24</v>
      </c>
      <c r="C209" s="1" t="s">
        <v>25</v>
      </c>
      <c r="D209" s="2">
        <v>44721</v>
      </c>
      <c r="E209" s="2" t="str">
        <f t="shared" si="3"/>
        <v>Jun</v>
      </c>
      <c r="F209" s="1">
        <v>444.44</v>
      </c>
      <c r="G209" s="1">
        <v>15</v>
      </c>
    </row>
    <row r="210" spans="1:7" hidden="1" x14ac:dyDescent="0.35">
      <c r="A210" s="1" t="s">
        <v>26</v>
      </c>
      <c r="B210" s="1" t="s">
        <v>14</v>
      </c>
      <c r="C210" s="1" t="s">
        <v>36</v>
      </c>
      <c r="D210" s="2">
        <v>44727</v>
      </c>
      <c r="E210" s="2" t="str">
        <f t="shared" si="3"/>
        <v>Jun</v>
      </c>
      <c r="F210" s="1">
        <v>7220.46</v>
      </c>
      <c r="G210" s="1">
        <v>171</v>
      </c>
    </row>
    <row r="211" spans="1:7" hidden="1" x14ac:dyDescent="0.35">
      <c r="A211" s="1" t="s">
        <v>21</v>
      </c>
      <c r="B211" s="1" t="s">
        <v>7</v>
      </c>
      <c r="C211" s="1" t="s">
        <v>36</v>
      </c>
      <c r="D211" s="2">
        <v>44616</v>
      </c>
      <c r="E211" s="2" t="str">
        <f t="shared" si="3"/>
        <v>Feb</v>
      </c>
      <c r="F211" s="1">
        <v>3490.94</v>
      </c>
      <c r="G211" s="1">
        <v>120</v>
      </c>
    </row>
    <row r="212" spans="1:7" hidden="1" x14ac:dyDescent="0.35">
      <c r="A212" s="1" t="s">
        <v>34</v>
      </c>
      <c r="B212" s="1" t="s">
        <v>7</v>
      </c>
      <c r="C212" s="1" t="s">
        <v>19</v>
      </c>
      <c r="D212" s="2">
        <v>44785</v>
      </c>
      <c r="E212" s="2" t="str">
        <f t="shared" si="3"/>
        <v>Aug</v>
      </c>
      <c r="F212" s="1">
        <v>7408.06</v>
      </c>
      <c r="G212" s="1">
        <v>168</v>
      </c>
    </row>
    <row r="213" spans="1:7" hidden="1" x14ac:dyDescent="0.35">
      <c r="A213" s="1" t="s">
        <v>21</v>
      </c>
      <c r="B213" s="1" t="s">
        <v>7</v>
      </c>
      <c r="C213" s="1" t="s">
        <v>18</v>
      </c>
      <c r="D213" s="2">
        <v>44773</v>
      </c>
      <c r="E213" s="2" t="str">
        <f t="shared" si="3"/>
        <v>Jul</v>
      </c>
      <c r="F213" s="1">
        <v>4111.71</v>
      </c>
      <c r="G213" s="1">
        <v>175</v>
      </c>
    </row>
    <row r="214" spans="1:7" hidden="1" x14ac:dyDescent="0.35">
      <c r="A214" s="1" t="s">
        <v>11</v>
      </c>
      <c r="B214" s="1" t="s">
        <v>12</v>
      </c>
      <c r="C214" s="1" t="s">
        <v>19</v>
      </c>
      <c r="D214" s="2">
        <v>44648</v>
      </c>
      <c r="E214" s="2" t="str">
        <f t="shared" si="3"/>
        <v>Mar</v>
      </c>
      <c r="F214" s="1">
        <v>3823.54</v>
      </c>
      <c r="G214" s="1">
        <v>269</v>
      </c>
    </row>
    <row r="215" spans="1:7" hidden="1" x14ac:dyDescent="0.35">
      <c r="A215" s="1" t="s">
        <v>34</v>
      </c>
      <c r="B215" s="1" t="s">
        <v>23</v>
      </c>
      <c r="C215" s="1" t="s">
        <v>17</v>
      </c>
      <c r="D215" s="2">
        <v>44748</v>
      </c>
      <c r="E215" s="2" t="str">
        <f t="shared" si="3"/>
        <v>Jul</v>
      </c>
      <c r="F215" s="1">
        <v>4542.8599999999997</v>
      </c>
      <c r="G215" s="1">
        <v>186</v>
      </c>
    </row>
    <row r="216" spans="1:7" hidden="1" x14ac:dyDescent="0.35">
      <c r="A216" s="1" t="s">
        <v>21</v>
      </c>
      <c r="B216" s="1" t="s">
        <v>10</v>
      </c>
      <c r="C216" s="1" t="s">
        <v>32</v>
      </c>
      <c r="D216" s="2">
        <v>44680</v>
      </c>
      <c r="E216" s="2" t="str">
        <f t="shared" si="3"/>
        <v>Apr</v>
      </c>
      <c r="F216" s="1">
        <v>527.39</v>
      </c>
      <c r="G216" s="1">
        <v>11</v>
      </c>
    </row>
    <row r="217" spans="1:7" hidden="1" x14ac:dyDescent="0.35">
      <c r="A217" s="1" t="s">
        <v>28</v>
      </c>
      <c r="B217" s="1" t="s">
        <v>24</v>
      </c>
      <c r="C217" s="1" t="s">
        <v>35</v>
      </c>
      <c r="D217" s="2">
        <v>44614</v>
      </c>
      <c r="E217" s="2" t="str">
        <f t="shared" si="3"/>
        <v>Feb</v>
      </c>
      <c r="F217" s="1">
        <v>4013.93</v>
      </c>
      <c r="G217" s="1">
        <v>124</v>
      </c>
    </row>
    <row r="218" spans="1:7" hidden="1" x14ac:dyDescent="0.35">
      <c r="A218" s="1" t="s">
        <v>26</v>
      </c>
      <c r="B218" s="1" t="s">
        <v>23</v>
      </c>
      <c r="C218" s="1" t="s">
        <v>30</v>
      </c>
      <c r="D218" s="2">
        <v>44573</v>
      </c>
      <c r="E218" s="2" t="str">
        <f t="shared" si="3"/>
        <v>Jan</v>
      </c>
      <c r="F218" s="1">
        <v>593.94000000000005</v>
      </c>
      <c r="G218" s="1">
        <v>38</v>
      </c>
    </row>
    <row r="219" spans="1:7" x14ac:dyDescent="0.35">
      <c r="A219" s="1" t="s">
        <v>9</v>
      </c>
      <c r="B219" s="1" t="s">
        <v>10</v>
      </c>
      <c r="C219" s="1" t="s">
        <v>36</v>
      </c>
      <c r="D219" s="2">
        <v>44569</v>
      </c>
      <c r="E219" s="2" t="str">
        <f t="shared" si="3"/>
        <v>Jan</v>
      </c>
      <c r="F219" s="1">
        <v>4318.42</v>
      </c>
      <c r="G219" s="1">
        <v>175</v>
      </c>
    </row>
    <row r="220" spans="1:7" hidden="1" x14ac:dyDescent="0.35">
      <c r="A220" s="1" t="s">
        <v>16</v>
      </c>
      <c r="B220" s="1" t="s">
        <v>24</v>
      </c>
      <c r="C220" s="1" t="s">
        <v>15</v>
      </c>
      <c r="D220" s="2">
        <v>44696</v>
      </c>
      <c r="E220" s="2" t="str">
        <f t="shared" si="3"/>
        <v>May</v>
      </c>
      <c r="F220" s="1">
        <v>5293.89</v>
      </c>
      <c r="G220" s="1">
        <v>144</v>
      </c>
    </row>
    <row r="221" spans="1:7" hidden="1" x14ac:dyDescent="0.35">
      <c r="A221" s="1" t="s">
        <v>21</v>
      </c>
      <c r="B221" s="1" t="s">
        <v>24</v>
      </c>
      <c r="C221" s="1" t="s">
        <v>31</v>
      </c>
      <c r="D221" s="2">
        <v>44585</v>
      </c>
      <c r="E221" s="2" t="str">
        <f t="shared" si="3"/>
        <v>Jan</v>
      </c>
      <c r="F221" s="1">
        <v>3165.41</v>
      </c>
      <c r="G221" s="1">
        <v>181</v>
      </c>
    </row>
    <row r="222" spans="1:7" x14ac:dyDescent="0.35">
      <c r="A222" s="1" t="s">
        <v>9</v>
      </c>
      <c r="B222" s="1" t="s">
        <v>24</v>
      </c>
      <c r="C222" s="1" t="s">
        <v>8</v>
      </c>
      <c r="D222" s="2">
        <v>44675</v>
      </c>
      <c r="E222" s="2" t="str">
        <f t="shared" si="3"/>
        <v>Apr</v>
      </c>
      <c r="F222" s="1">
        <v>5212.22</v>
      </c>
      <c r="G222" s="1">
        <v>224</v>
      </c>
    </row>
    <row r="223" spans="1:7" hidden="1" x14ac:dyDescent="0.35">
      <c r="A223" s="1" t="s">
        <v>11</v>
      </c>
      <c r="B223" s="1" t="s">
        <v>10</v>
      </c>
      <c r="C223" s="1" t="s">
        <v>19</v>
      </c>
      <c r="D223" s="2">
        <v>44724</v>
      </c>
      <c r="E223" s="2" t="str">
        <f t="shared" si="3"/>
        <v>Jun</v>
      </c>
      <c r="F223" s="1">
        <v>4320.88</v>
      </c>
      <c r="G223" s="1">
        <v>211</v>
      </c>
    </row>
    <row r="224" spans="1:7" hidden="1" x14ac:dyDescent="0.35">
      <c r="A224" s="1" t="s">
        <v>11</v>
      </c>
      <c r="B224" s="1" t="s">
        <v>10</v>
      </c>
      <c r="C224" s="1" t="s">
        <v>35</v>
      </c>
      <c r="D224" s="2">
        <v>44800</v>
      </c>
      <c r="E224" s="2" t="str">
        <f t="shared" si="3"/>
        <v>Aug</v>
      </c>
      <c r="F224" s="1">
        <v>434.03</v>
      </c>
      <c r="G224" s="1">
        <v>16</v>
      </c>
    </row>
    <row r="225" spans="1:7" hidden="1" x14ac:dyDescent="0.35">
      <c r="A225" s="1" t="s">
        <v>26</v>
      </c>
      <c r="B225" s="1" t="s">
        <v>24</v>
      </c>
      <c r="C225" s="1" t="s">
        <v>18</v>
      </c>
      <c r="D225" s="2">
        <v>44614</v>
      </c>
      <c r="E225" s="2" t="str">
        <f t="shared" si="3"/>
        <v>Feb</v>
      </c>
      <c r="F225" s="1">
        <v>15708.48</v>
      </c>
      <c r="G225" s="1">
        <v>486</v>
      </c>
    </row>
    <row r="226" spans="1:7" hidden="1" x14ac:dyDescent="0.35">
      <c r="A226" s="1" t="s">
        <v>21</v>
      </c>
      <c r="B226" s="1" t="s">
        <v>14</v>
      </c>
      <c r="C226" s="1" t="s">
        <v>27</v>
      </c>
      <c r="D226" s="2">
        <v>44707</v>
      </c>
      <c r="E226" s="2" t="str">
        <f t="shared" si="3"/>
        <v>May</v>
      </c>
      <c r="F226" s="1">
        <v>411.5</v>
      </c>
      <c r="G226" s="1">
        <v>16</v>
      </c>
    </row>
    <row r="227" spans="1:7" hidden="1" x14ac:dyDescent="0.35">
      <c r="A227" s="1" t="s">
        <v>28</v>
      </c>
      <c r="B227" s="1" t="s">
        <v>23</v>
      </c>
      <c r="C227" s="1" t="s">
        <v>25</v>
      </c>
      <c r="D227" s="2">
        <v>44772</v>
      </c>
      <c r="E227" s="2" t="str">
        <f t="shared" si="3"/>
        <v>Jul</v>
      </c>
      <c r="F227" s="1">
        <v>2124.81</v>
      </c>
      <c r="G227" s="1">
        <v>101</v>
      </c>
    </row>
    <row r="228" spans="1:7" hidden="1" x14ac:dyDescent="0.35">
      <c r="A228" s="1" t="s">
        <v>21</v>
      </c>
      <c r="B228" s="1" t="s">
        <v>23</v>
      </c>
      <c r="C228" s="1" t="s">
        <v>29</v>
      </c>
      <c r="D228" s="2">
        <v>44573</v>
      </c>
      <c r="E228" s="2" t="str">
        <f t="shared" si="3"/>
        <v>Jan</v>
      </c>
      <c r="F228" s="1">
        <v>984.79</v>
      </c>
      <c r="G228" s="1">
        <v>32</v>
      </c>
    </row>
    <row r="229" spans="1:7" hidden="1" x14ac:dyDescent="0.35">
      <c r="A229" s="1" t="s">
        <v>11</v>
      </c>
      <c r="B229" s="1" t="s">
        <v>14</v>
      </c>
      <c r="C229" s="1" t="s">
        <v>32</v>
      </c>
      <c r="D229" s="2">
        <v>44677</v>
      </c>
      <c r="E229" s="2" t="str">
        <f t="shared" si="3"/>
        <v>Apr</v>
      </c>
      <c r="F229" s="1">
        <v>13049.1</v>
      </c>
      <c r="G229" s="1">
        <v>327</v>
      </c>
    </row>
    <row r="230" spans="1:7" hidden="1" x14ac:dyDescent="0.35">
      <c r="A230" s="1" t="s">
        <v>22</v>
      </c>
      <c r="B230" s="1" t="s">
        <v>12</v>
      </c>
      <c r="C230" s="1" t="s">
        <v>13</v>
      </c>
      <c r="D230" s="2">
        <v>44741</v>
      </c>
      <c r="E230" s="2" t="str">
        <f t="shared" si="3"/>
        <v>Jun</v>
      </c>
      <c r="F230" s="1">
        <v>956.42</v>
      </c>
      <c r="G230" s="1">
        <v>21</v>
      </c>
    </row>
    <row r="231" spans="1:7" hidden="1" x14ac:dyDescent="0.35">
      <c r="A231" s="1" t="s">
        <v>11</v>
      </c>
      <c r="B231" s="1" t="s">
        <v>14</v>
      </c>
      <c r="C231" s="1" t="s">
        <v>36</v>
      </c>
      <c r="D231" s="2">
        <v>44666</v>
      </c>
      <c r="E231" s="2" t="str">
        <f t="shared" si="3"/>
        <v>Apr</v>
      </c>
      <c r="F231" s="1">
        <v>5712.21</v>
      </c>
      <c r="G231" s="1">
        <v>337</v>
      </c>
    </row>
    <row r="232" spans="1:7" hidden="1" x14ac:dyDescent="0.35">
      <c r="A232" s="1" t="s">
        <v>20</v>
      </c>
      <c r="B232" s="1" t="s">
        <v>12</v>
      </c>
      <c r="C232" s="1" t="s">
        <v>30</v>
      </c>
      <c r="D232" s="2">
        <v>44679</v>
      </c>
      <c r="E232" s="2" t="str">
        <f t="shared" si="3"/>
        <v>Apr</v>
      </c>
      <c r="F232" s="1">
        <v>6985.76</v>
      </c>
      <c r="G232" s="1">
        <v>410</v>
      </c>
    </row>
    <row r="233" spans="1:7" x14ac:dyDescent="0.35">
      <c r="A233" s="1" t="s">
        <v>9</v>
      </c>
      <c r="B233" s="1" t="s">
        <v>24</v>
      </c>
      <c r="C233" s="1" t="s">
        <v>30</v>
      </c>
      <c r="D233" s="2">
        <v>44783</v>
      </c>
      <c r="E233" s="2" t="str">
        <f t="shared" si="3"/>
        <v>Aug</v>
      </c>
      <c r="F233" s="1">
        <v>10122.81</v>
      </c>
      <c r="G233" s="1">
        <v>236</v>
      </c>
    </row>
    <row r="234" spans="1:7" hidden="1" x14ac:dyDescent="0.35">
      <c r="A234" s="1" t="s">
        <v>22</v>
      </c>
      <c r="B234" s="1" t="s">
        <v>24</v>
      </c>
      <c r="C234" s="1" t="s">
        <v>17</v>
      </c>
      <c r="D234" s="2">
        <v>44583</v>
      </c>
      <c r="E234" s="2" t="str">
        <f t="shared" si="3"/>
        <v>Jan</v>
      </c>
      <c r="F234" s="1">
        <v>4746.8599999999997</v>
      </c>
      <c r="G234" s="1">
        <v>321</v>
      </c>
    </row>
    <row r="235" spans="1:7" hidden="1" x14ac:dyDescent="0.35">
      <c r="A235" s="1" t="s">
        <v>26</v>
      </c>
      <c r="B235" s="1" t="s">
        <v>10</v>
      </c>
      <c r="C235" s="1" t="s">
        <v>32</v>
      </c>
      <c r="D235" s="2">
        <v>44639</v>
      </c>
      <c r="E235" s="2" t="str">
        <f t="shared" si="3"/>
        <v>Mar</v>
      </c>
      <c r="F235" s="1">
        <v>365.6</v>
      </c>
      <c r="G235" s="1">
        <v>18</v>
      </c>
    </row>
    <row r="236" spans="1:7" hidden="1" x14ac:dyDescent="0.35">
      <c r="A236" s="1" t="s">
        <v>16</v>
      </c>
      <c r="B236" s="1" t="s">
        <v>14</v>
      </c>
      <c r="C236" s="1" t="s">
        <v>25</v>
      </c>
      <c r="D236" s="2">
        <v>44788</v>
      </c>
      <c r="E236" s="2" t="str">
        <f t="shared" si="3"/>
        <v>Aug</v>
      </c>
      <c r="F236" s="1">
        <v>9791.02</v>
      </c>
      <c r="G236" s="1">
        <v>385</v>
      </c>
    </row>
    <row r="237" spans="1:7" hidden="1" x14ac:dyDescent="0.35">
      <c r="A237" s="1" t="s">
        <v>6</v>
      </c>
      <c r="B237" s="1" t="s">
        <v>24</v>
      </c>
      <c r="C237" s="1" t="s">
        <v>29</v>
      </c>
      <c r="D237" s="2">
        <v>44584</v>
      </c>
      <c r="E237" s="2" t="str">
        <f t="shared" si="3"/>
        <v>Jan</v>
      </c>
      <c r="F237" s="1">
        <v>6966.13</v>
      </c>
      <c r="G237" s="1">
        <v>364</v>
      </c>
    </row>
    <row r="238" spans="1:7" hidden="1" x14ac:dyDescent="0.35">
      <c r="A238" s="1" t="s">
        <v>21</v>
      </c>
      <c r="B238" s="1" t="s">
        <v>24</v>
      </c>
      <c r="C238" s="1" t="s">
        <v>19</v>
      </c>
      <c r="D238" s="2">
        <v>44581</v>
      </c>
      <c r="E238" s="2" t="str">
        <f t="shared" si="3"/>
        <v>Jan</v>
      </c>
      <c r="F238" s="1">
        <v>14282.35</v>
      </c>
      <c r="G238" s="1">
        <v>458</v>
      </c>
    </row>
    <row r="239" spans="1:7" hidden="1" x14ac:dyDescent="0.35">
      <c r="A239" s="1" t="s">
        <v>20</v>
      </c>
      <c r="B239" s="1" t="s">
        <v>7</v>
      </c>
      <c r="C239" s="1" t="s">
        <v>29</v>
      </c>
      <c r="D239" s="2">
        <v>44797</v>
      </c>
      <c r="E239" s="2" t="str">
        <f t="shared" si="3"/>
        <v>Aug</v>
      </c>
      <c r="F239" s="1">
        <v>2735.77</v>
      </c>
      <c r="G239" s="1">
        <v>73</v>
      </c>
    </row>
    <row r="240" spans="1:7" x14ac:dyDescent="0.35">
      <c r="A240" s="1" t="s">
        <v>9</v>
      </c>
      <c r="B240" s="1" t="s">
        <v>7</v>
      </c>
      <c r="C240" s="1" t="s">
        <v>32</v>
      </c>
      <c r="D240" s="2">
        <v>44609</v>
      </c>
      <c r="E240" s="2" t="str">
        <f t="shared" si="3"/>
        <v>Feb</v>
      </c>
      <c r="F240" s="1">
        <v>5503.98</v>
      </c>
      <c r="G240" s="1">
        <v>338</v>
      </c>
    </row>
    <row r="241" spans="1:7" hidden="1" x14ac:dyDescent="0.35">
      <c r="A241" s="1" t="s">
        <v>11</v>
      </c>
      <c r="B241" s="1" t="s">
        <v>10</v>
      </c>
      <c r="C241" s="1" t="s">
        <v>32</v>
      </c>
      <c r="D241" s="2">
        <v>44685</v>
      </c>
      <c r="E241" s="2" t="str">
        <f t="shared" si="3"/>
        <v>May</v>
      </c>
      <c r="F241" s="1">
        <v>10872.5</v>
      </c>
      <c r="G241" s="1">
        <v>351</v>
      </c>
    </row>
    <row r="242" spans="1:7" hidden="1" x14ac:dyDescent="0.35">
      <c r="A242" s="1" t="s">
        <v>11</v>
      </c>
      <c r="B242" s="1" t="s">
        <v>23</v>
      </c>
      <c r="C242" s="1" t="s">
        <v>8</v>
      </c>
      <c r="D242" s="2">
        <v>44567</v>
      </c>
      <c r="E242" s="2" t="str">
        <f t="shared" si="3"/>
        <v>Jan</v>
      </c>
      <c r="F242" s="1">
        <v>4158.5</v>
      </c>
      <c r="G242" s="1">
        <v>286</v>
      </c>
    </row>
    <row r="243" spans="1:7" x14ac:dyDescent="0.35">
      <c r="A243" s="1" t="s">
        <v>9</v>
      </c>
      <c r="B243" s="1" t="s">
        <v>23</v>
      </c>
      <c r="C243" s="1" t="s">
        <v>27</v>
      </c>
      <c r="D243" s="2">
        <v>44666</v>
      </c>
      <c r="E243" s="2" t="str">
        <f t="shared" si="3"/>
        <v>Apr</v>
      </c>
      <c r="F243" s="1">
        <v>23977.48</v>
      </c>
      <c r="G243" s="1">
        <v>481</v>
      </c>
    </row>
    <row r="244" spans="1:7" hidden="1" x14ac:dyDescent="0.35">
      <c r="A244" s="1" t="s">
        <v>28</v>
      </c>
      <c r="B244" s="1" t="s">
        <v>14</v>
      </c>
      <c r="C244" s="1" t="s">
        <v>33</v>
      </c>
      <c r="D244" s="2">
        <v>44798</v>
      </c>
      <c r="E244" s="2" t="str">
        <f t="shared" si="3"/>
        <v>Aug</v>
      </c>
      <c r="F244" s="1">
        <v>5031.0600000000004</v>
      </c>
      <c r="G244" s="1">
        <v>161</v>
      </c>
    </row>
    <row r="245" spans="1:7" hidden="1" x14ac:dyDescent="0.35">
      <c r="A245" s="1" t="s">
        <v>21</v>
      </c>
      <c r="B245" s="1" t="s">
        <v>7</v>
      </c>
      <c r="C245" s="1" t="s">
        <v>29</v>
      </c>
      <c r="D245" s="2">
        <v>44712</v>
      </c>
      <c r="E245" s="2" t="str">
        <f t="shared" si="3"/>
        <v>May</v>
      </c>
      <c r="F245" s="1">
        <v>7460.34</v>
      </c>
      <c r="G245" s="1">
        <v>356</v>
      </c>
    </row>
    <row r="246" spans="1:7" x14ac:dyDescent="0.35">
      <c r="A246" s="1" t="s">
        <v>9</v>
      </c>
      <c r="B246" s="1" t="s">
        <v>24</v>
      </c>
      <c r="C246" s="1" t="s">
        <v>30</v>
      </c>
      <c r="D246" s="2">
        <v>44750</v>
      </c>
      <c r="E246" s="2" t="str">
        <f t="shared" si="3"/>
        <v>Jul</v>
      </c>
      <c r="F246" s="1">
        <v>6613.2</v>
      </c>
      <c r="G246" s="1">
        <v>186</v>
      </c>
    </row>
    <row r="247" spans="1:7" x14ac:dyDescent="0.35">
      <c r="A247" s="1" t="s">
        <v>9</v>
      </c>
      <c r="B247" s="1" t="s">
        <v>14</v>
      </c>
      <c r="C247" s="1" t="s">
        <v>17</v>
      </c>
      <c r="D247" s="2">
        <v>44681</v>
      </c>
      <c r="E247" s="2" t="str">
        <f t="shared" si="3"/>
        <v>Apr</v>
      </c>
      <c r="F247" s="1">
        <v>708.87</v>
      </c>
      <c r="G247" s="1">
        <v>36</v>
      </c>
    </row>
    <row r="248" spans="1:7" hidden="1" x14ac:dyDescent="0.35">
      <c r="A248" s="1" t="s">
        <v>20</v>
      </c>
      <c r="B248" s="1" t="s">
        <v>14</v>
      </c>
      <c r="C248" s="1" t="s">
        <v>32</v>
      </c>
      <c r="D248" s="2">
        <v>44728</v>
      </c>
      <c r="E248" s="2" t="str">
        <f t="shared" si="3"/>
        <v>Jun</v>
      </c>
      <c r="F248" s="1">
        <v>10445.39</v>
      </c>
      <c r="G248" s="1">
        <v>306</v>
      </c>
    </row>
    <row r="249" spans="1:7" hidden="1" x14ac:dyDescent="0.35">
      <c r="A249" s="1" t="s">
        <v>16</v>
      </c>
      <c r="B249" s="1" t="s">
        <v>23</v>
      </c>
      <c r="C249" s="1" t="s">
        <v>29</v>
      </c>
      <c r="D249" s="2">
        <v>44662</v>
      </c>
      <c r="E249" s="2" t="str">
        <f t="shared" si="3"/>
        <v>Apr</v>
      </c>
      <c r="F249" s="1">
        <v>5797.63</v>
      </c>
      <c r="G249" s="1">
        <v>254</v>
      </c>
    </row>
    <row r="250" spans="1:7" hidden="1" x14ac:dyDescent="0.35">
      <c r="A250" s="1" t="s">
        <v>16</v>
      </c>
      <c r="B250" s="1" t="s">
        <v>12</v>
      </c>
      <c r="C250" s="1" t="s">
        <v>35</v>
      </c>
      <c r="D250" s="2">
        <v>44639</v>
      </c>
      <c r="E250" s="2" t="str">
        <f t="shared" si="3"/>
        <v>Mar</v>
      </c>
      <c r="F250" s="1">
        <v>10473.969999999999</v>
      </c>
      <c r="G250" s="1">
        <v>441</v>
      </c>
    </row>
    <row r="251" spans="1:7" hidden="1" x14ac:dyDescent="0.35">
      <c r="A251" s="1" t="s">
        <v>20</v>
      </c>
      <c r="B251" s="1" t="s">
        <v>7</v>
      </c>
      <c r="C251" s="1" t="s">
        <v>27</v>
      </c>
      <c r="D251" s="2">
        <v>44757</v>
      </c>
      <c r="E251" s="2" t="str">
        <f t="shared" si="3"/>
        <v>Jul</v>
      </c>
      <c r="F251" s="1">
        <v>1372.66</v>
      </c>
      <c r="G251" s="1">
        <v>33</v>
      </c>
    </row>
    <row r="252" spans="1:7" hidden="1" x14ac:dyDescent="0.35">
      <c r="A252" s="1" t="s">
        <v>20</v>
      </c>
      <c r="B252" s="1" t="s">
        <v>14</v>
      </c>
      <c r="C252" s="1" t="s">
        <v>36</v>
      </c>
      <c r="D252" s="2">
        <v>44623</v>
      </c>
      <c r="E252" s="2" t="str">
        <f t="shared" si="3"/>
        <v>Mar</v>
      </c>
      <c r="F252" s="1">
        <v>11414.54</v>
      </c>
      <c r="G252" s="1">
        <v>333</v>
      </c>
    </row>
    <row r="253" spans="1:7" hidden="1" x14ac:dyDescent="0.35">
      <c r="A253" s="1" t="s">
        <v>21</v>
      </c>
      <c r="B253" s="1" t="s">
        <v>12</v>
      </c>
      <c r="C253" s="1" t="s">
        <v>29</v>
      </c>
      <c r="D253" s="2">
        <v>44697</v>
      </c>
      <c r="E253" s="2" t="str">
        <f t="shared" si="3"/>
        <v>May</v>
      </c>
      <c r="F253" s="1">
        <v>631.36</v>
      </c>
      <c r="G253" s="1">
        <v>41</v>
      </c>
    </row>
    <row r="254" spans="1:7" hidden="1" x14ac:dyDescent="0.35">
      <c r="A254" s="1" t="s">
        <v>6</v>
      </c>
      <c r="B254" s="1" t="s">
        <v>23</v>
      </c>
      <c r="C254" s="1" t="s">
        <v>35</v>
      </c>
      <c r="D254" s="2">
        <v>44650</v>
      </c>
      <c r="E254" s="2" t="str">
        <f t="shared" si="3"/>
        <v>Mar</v>
      </c>
      <c r="F254" s="1">
        <v>6093.04</v>
      </c>
      <c r="G254" s="1">
        <v>357</v>
      </c>
    </row>
    <row r="255" spans="1:7" hidden="1" x14ac:dyDescent="0.35">
      <c r="A255" s="1" t="s">
        <v>22</v>
      </c>
      <c r="B255" s="1" t="s">
        <v>23</v>
      </c>
      <c r="C255" s="1" t="s">
        <v>27</v>
      </c>
      <c r="D255" s="2">
        <v>44664</v>
      </c>
      <c r="E255" s="2" t="str">
        <f t="shared" si="3"/>
        <v>Apr</v>
      </c>
      <c r="F255" s="1">
        <v>3335.93</v>
      </c>
      <c r="G255" s="1">
        <v>270</v>
      </c>
    </row>
    <row r="256" spans="1:7" hidden="1" x14ac:dyDescent="0.35">
      <c r="A256" s="1" t="s">
        <v>20</v>
      </c>
      <c r="B256" s="1" t="s">
        <v>24</v>
      </c>
      <c r="C256" s="1" t="s">
        <v>17</v>
      </c>
      <c r="D256" s="2">
        <v>44723</v>
      </c>
      <c r="E256" s="2" t="str">
        <f t="shared" si="3"/>
        <v>Jun</v>
      </c>
      <c r="F256" s="1">
        <v>15130.24</v>
      </c>
      <c r="G256" s="1">
        <v>384</v>
      </c>
    </row>
    <row r="257" spans="1:7" hidden="1" x14ac:dyDescent="0.35">
      <c r="A257" s="1" t="s">
        <v>28</v>
      </c>
      <c r="B257" s="1" t="s">
        <v>23</v>
      </c>
      <c r="C257" s="1" t="s">
        <v>33</v>
      </c>
      <c r="D257" s="2">
        <v>44625</v>
      </c>
      <c r="E257" s="2" t="str">
        <f t="shared" si="3"/>
        <v>Mar</v>
      </c>
      <c r="F257" s="1">
        <v>3321.69</v>
      </c>
      <c r="G257" s="1">
        <v>145</v>
      </c>
    </row>
    <row r="258" spans="1:7" hidden="1" x14ac:dyDescent="0.35">
      <c r="A258" s="1" t="s">
        <v>16</v>
      </c>
      <c r="B258" s="1" t="s">
        <v>14</v>
      </c>
      <c r="C258" s="1" t="s">
        <v>8</v>
      </c>
      <c r="D258" s="2">
        <v>44789</v>
      </c>
      <c r="E258" s="2" t="str">
        <f t="shared" si="3"/>
        <v>Aug</v>
      </c>
      <c r="F258" s="1">
        <v>2336.36</v>
      </c>
      <c r="G258" s="1">
        <v>119</v>
      </c>
    </row>
    <row r="259" spans="1:7" hidden="1" x14ac:dyDescent="0.35">
      <c r="A259" s="1" t="s">
        <v>21</v>
      </c>
      <c r="B259" s="1" t="s">
        <v>24</v>
      </c>
      <c r="C259" s="1" t="s">
        <v>32</v>
      </c>
      <c r="D259" s="2">
        <v>44666</v>
      </c>
      <c r="E259" s="2" t="str">
        <f t="shared" ref="E259:E322" si="4">TEXT(D259, "mmm")</f>
        <v>Apr</v>
      </c>
      <c r="F259" s="1">
        <v>19443.77</v>
      </c>
      <c r="G259" s="1">
        <v>420</v>
      </c>
    </row>
    <row r="260" spans="1:7" hidden="1" x14ac:dyDescent="0.35">
      <c r="A260" s="1" t="s">
        <v>22</v>
      </c>
      <c r="B260" s="1" t="s">
        <v>7</v>
      </c>
      <c r="C260" s="1" t="s">
        <v>19</v>
      </c>
      <c r="D260" s="2">
        <v>44592</v>
      </c>
      <c r="E260" s="2" t="str">
        <f t="shared" si="4"/>
        <v>Jan</v>
      </c>
      <c r="F260" s="1">
        <v>4534.5</v>
      </c>
      <c r="G260" s="1">
        <v>161</v>
      </c>
    </row>
    <row r="261" spans="1:7" hidden="1" x14ac:dyDescent="0.35">
      <c r="A261" s="1" t="s">
        <v>11</v>
      </c>
      <c r="B261" s="1" t="s">
        <v>10</v>
      </c>
      <c r="C261" s="1" t="s">
        <v>32</v>
      </c>
      <c r="D261" s="2">
        <v>44797</v>
      </c>
      <c r="E261" s="2" t="str">
        <f t="shared" si="4"/>
        <v>Aug</v>
      </c>
      <c r="F261" s="1">
        <v>1027.0999999999999</v>
      </c>
      <c r="G261" s="1">
        <v>69</v>
      </c>
    </row>
    <row r="262" spans="1:7" x14ac:dyDescent="0.35">
      <c r="A262" s="1" t="s">
        <v>9</v>
      </c>
      <c r="B262" s="1" t="s">
        <v>12</v>
      </c>
      <c r="C262" s="1" t="s">
        <v>27</v>
      </c>
      <c r="D262" s="2">
        <v>44635</v>
      </c>
      <c r="E262" s="2" t="str">
        <f t="shared" si="4"/>
        <v>Mar</v>
      </c>
      <c r="F262" s="1">
        <v>2883</v>
      </c>
      <c r="G262" s="1">
        <v>66</v>
      </c>
    </row>
    <row r="263" spans="1:7" hidden="1" x14ac:dyDescent="0.35">
      <c r="A263" s="1" t="s">
        <v>34</v>
      </c>
      <c r="B263" s="1" t="s">
        <v>14</v>
      </c>
      <c r="C263" s="1" t="s">
        <v>33</v>
      </c>
      <c r="D263" s="2">
        <v>44569</v>
      </c>
      <c r="E263" s="2" t="str">
        <f t="shared" si="4"/>
        <v>Jan</v>
      </c>
      <c r="F263" s="1">
        <v>2593.64</v>
      </c>
      <c r="G263" s="1">
        <v>66</v>
      </c>
    </row>
    <row r="264" spans="1:7" hidden="1" x14ac:dyDescent="0.35">
      <c r="A264" s="1" t="s">
        <v>34</v>
      </c>
      <c r="B264" s="1" t="s">
        <v>10</v>
      </c>
      <c r="C264" s="1" t="s">
        <v>32</v>
      </c>
      <c r="D264" s="2">
        <v>44654</v>
      </c>
      <c r="E264" s="2" t="str">
        <f t="shared" si="4"/>
        <v>Apr</v>
      </c>
      <c r="F264" s="1">
        <v>5802.73</v>
      </c>
      <c r="G264" s="1">
        <v>433</v>
      </c>
    </row>
    <row r="265" spans="1:7" x14ac:dyDescent="0.35">
      <c r="A265" s="1" t="s">
        <v>9</v>
      </c>
      <c r="B265" s="1" t="s">
        <v>23</v>
      </c>
      <c r="C265" s="1" t="s">
        <v>32</v>
      </c>
      <c r="D265" s="2">
        <v>44699</v>
      </c>
      <c r="E265" s="2" t="str">
        <f t="shared" si="4"/>
        <v>May</v>
      </c>
      <c r="F265" s="1">
        <v>11992.11</v>
      </c>
      <c r="G265" s="1">
        <v>257</v>
      </c>
    </row>
    <row r="266" spans="1:7" hidden="1" x14ac:dyDescent="0.35">
      <c r="A266" s="1" t="s">
        <v>11</v>
      </c>
      <c r="B266" s="1" t="s">
        <v>24</v>
      </c>
      <c r="C266" s="1" t="s">
        <v>27</v>
      </c>
      <c r="D266" s="2">
        <v>44599</v>
      </c>
      <c r="E266" s="2" t="str">
        <f t="shared" si="4"/>
        <v>Feb</v>
      </c>
      <c r="F266" s="1">
        <v>352.92</v>
      </c>
      <c r="G266" s="1">
        <v>30</v>
      </c>
    </row>
    <row r="267" spans="1:7" hidden="1" x14ac:dyDescent="0.35">
      <c r="A267" s="1" t="s">
        <v>26</v>
      </c>
      <c r="B267" s="1" t="s">
        <v>14</v>
      </c>
      <c r="C267" s="1" t="s">
        <v>19</v>
      </c>
      <c r="D267" s="2">
        <v>44709</v>
      </c>
      <c r="E267" s="2" t="str">
        <f t="shared" si="4"/>
        <v>May</v>
      </c>
      <c r="F267" s="1">
        <v>7024.11</v>
      </c>
      <c r="G267" s="1">
        <v>190</v>
      </c>
    </row>
    <row r="268" spans="1:7" hidden="1" x14ac:dyDescent="0.35">
      <c r="A268" s="1" t="s">
        <v>16</v>
      </c>
      <c r="B268" s="1" t="s">
        <v>14</v>
      </c>
      <c r="C268" s="1" t="s">
        <v>27</v>
      </c>
      <c r="D268" s="2">
        <v>44712</v>
      </c>
      <c r="E268" s="2" t="str">
        <f t="shared" si="4"/>
        <v>May</v>
      </c>
      <c r="F268" s="1">
        <v>2884.52</v>
      </c>
      <c r="G268" s="1">
        <v>118</v>
      </c>
    </row>
    <row r="269" spans="1:7" hidden="1" x14ac:dyDescent="0.35">
      <c r="A269" s="1" t="s">
        <v>11</v>
      </c>
      <c r="B269" s="1" t="s">
        <v>24</v>
      </c>
      <c r="C269" s="1" t="s">
        <v>25</v>
      </c>
      <c r="D269" s="2">
        <v>44738</v>
      </c>
      <c r="E269" s="2" t="str">
        <f t="shared" si="4"/>
        <v>Jun</v>
      </c>
      <c r="F269" s="1">
        <v>5022.76</v>
      </c>
      <c r="G269" s="1">
        <v>154</v>
      </c>
    </row>
    <row r="270" spans="1:7" hidden="1" x14ac:dyDescent="0.35">
      <c r="A270" s="1" t="s">
        <v>11</v>
      </c>
      <c r="B270" s="1" t="s">
        <v>14</v>
      </c>
      <c r="C270" s="1" t="s">
        <v>17</v>
      </c>
      <c r="D270" s="2">
        <v>44791</v>
      </c>
      <c r="E270" s="2" t="str">
        <f t="shared" si="4"/>
        <v>Aug</v>
      </c>
      <c r="F270" s="1">
        <v>5250.58</v>
      </c>
      <c r="G270" s="1">
        <v>299</v>
      </c>
    </row>
    <row r="271" spans="1:7" x14ac:dyDescent="0.35">
      <c r="A271" s="1" t="s">
        <v>9</v>
      </c>
      <c r="B271" s="1" t="s">
        <v>24</v>
      </c>
      <c r="C271" s="1" t="s">
        <v>30</v>
      </c>
      <c r="D271" s="2">
        <v>44690</v>
      </c>
      <c r="E271" s="2" t="str">
        <f t="shared" si="4"/>
        <v>May</v>
      </c>
      <c r="F271" s="1">
        <v>2584.15</v>
      </c>
      <c r="G271" s="1">
        <v>108</v>
      </c>
    </row>
    <row r="272" spans="1:7" hidden="1" x14ac:dyDescent="0.35">
      <c r="A272" s="1" t="s">
        <v>34</v>
      </c>
      <c r="B272" s="1" t="s">
        <v>24</v>
      </c>
      <c r="C272" s="1" t="s">
        <v>29</v>
      </c>
      <c r="D272" s="2">
        <v>44755</v>
      </c>
      <c r="E272" s="2" t="str">
        <f t="shared" si="4"/>
        <v>Jul</v>
      </c>
      <c r="F272" s="1">
        <v>8581.27</v>
      </c>
      <c r="G272" s="1">
        <v>190</v>
      </c>
    </row>
    <row r="273" spans="1:7" hidden="1" x14ac:dyDescent="0.35">
      <c r="A273" s="1" t="s">
        <v>16</v>
      </c>
      <c r="B273" s="1" t="s">
        <v>14</v>
      </c>
      <c r="C273" s="1" t="s">
        <v>17</v>
      </c>
      <c r="D273" s="2">
        <v>44715</v>
      </c>
      <c r="E273" s="2" t="str">
        <f t="shared" si="4"/>
        <v>Jun</v>
      </c>
      <c r="F273" s="1">
        <v>559.73</v>
      </c>
      <c r="G273" s="1">
        <v>12</v>
      </c>
    </row>
    <row r="274" spans="1:7" hidden="1" x14ac:dyDescent="0.35">
      <c r="A274" s="1" t="s">
        <v>22</v>
      </c>
      <c r="B274" s="1" t="s">
        <v>12</v>
      </c>
      <c r="C274" s="1" t="s">
        <v>25</v>
      </c>
      <c r="D274" s="2">
        <v>44719</v>
      </c>
      <c r="E274" s="2" t="str">
        <f t="shared" si="4"/>
        <v>Jun</v>
      </c>
      <c r="F274" s="1">
        <v>12905.06</v>
      </c>
      <c r="G274" s="1">
        <v>498</v>
      </c>
    </row>
    <row r="275" spans="1:7" hidden="1" x14ac:dyDescent="0.35">
      <c r="A275" s="1" t="s">
        <v>16</v>
      </c>
      <c r="B275" s="1" t="s">
        <v>24</v>
      </c>
      <c r="C275" s="1" t="s">
        <v>27</v>
      </c>
      <c r="D275" s="2">
        <v>44736</v>
      </c>
      <c r="E275" s="2" t="str">
        <f t="shared" si="4"/>
        <v>Jun</v>
      </c>
      <c r="F275" s="1">
        <v>13509.42</v>
      </c>
      <c r="G275" s="1">
        <v>296</v>
      </c>
    </row>
    <row r="276" spans="1:7" hidden="1" x14ac:dyDescent="0.35">
      <c r="A276" s="1" t="s">
        <v>11</v>
      </c>
      <c r="B276" s="1" t="s">
        <v>12</v>
      </c>
      <c r="C276" s="1" t="s">
        <v>15</v>
      </c>
      <c r="D276" s="2">
        <v>44710</v>
      </c>
      <c r="E276" s="2" t="str">
        <f t="shared" si="4"/>
        <v>May</v>
      </c>
      <c r="F276" s="1">
        <v>3116.98</v>
      </c>
      <c r="G276" s="1">
        <v>148</v>
      </c>
    </row>
    <row r="277" spans="1:7" hidden="1" x14ac:dyDescent="0.35">
      <c r="A277" s="1" t="s">
        <v>20</v>
      </c>
      <c r="B277" s="1" t="s">
        <v>24</v>
      </c>
      <c r="C277" s="1" t="s">
        <v>35</v>
      </c>
      <c r="D277" s="2">
        <v>44717</v>
      </c>
      <c r="E277" s="2" t="str">
        <f t="shared" si="4"/>
        <v>Jun</v>
      </c>
      <c r="F277" s="1">
        <v>1123.46</v>
      </c>
      <c r="G277" s="1">
        <v>56</v>
      </c>
    </row>
    <row r="278" spans="1:7" x14ac:dyDescent="0.35">
      <c r="A278" s="1" t="s">
        <v>9</v>
      </c>
      <c r="B278" s="1" t="s">
        <v>24</v>
      </c>
      <c r="C278" s="1" t="s">
        <v>30</v>
      </c>
      <c r="D278" s="2">
        <v>44650</v>
      </c>
      <c r="E278" s="2" t="str">
        <f t="shared" si="4"/>
        <v>Mar</v>
      </c>
      <c r="F278" s="1">
        <v>18188.8</v>
      </c>
      <c r="G278" s="1">
        <v>495</v>
      </c>
    </row>
    <row r="279" spans="1:7" hidden="1" x14ac:dyDescent="0.35">
      <c r="A279" s="1" t="s">
        <v>34</v>
      </c>
      <c r="B279" s="1" t="s">
        <v>24</v>
      </c>
      <c r="C279" s="1" t="s">
        <v>18</v>
      </c>
      <c r="D279" s="2">
        <v>44586</v>
      </c>
      <c r="E279" s="2" t="str">
        <f t="shared" si="4"/>
        <v>Jan</v>
      </c>
      <c r="F279" s="1">
        <v>8484.94</v>
      </c>
      <c r="G279" s="1">
        <v>317</v>
      </c>
    </row>
    <row r="280" spans="1:7" hidden="1" x14ac:dyDescent="0.35">
      <c r="A280" s="1" t="s">
        <v>16</v>
      </c>
      <c r="B280" s="1" t="s">
        <v>14</v>
      </c>
      <c r="C280" s="1" t="s">
        <v>8</v>
      </c>
      <c r="D280" s="2">
        <v>44764</v>
      </c>
      <c r="E280" s="2" t="str">
        <f t="shared" si="4"/>
        <v>Jul</v>
      </c>
      <c r="F280" s="1">
        <v>6693.75</v>
      </c>
      <c r="G280" s="1">
        <v>476</v>
      </c>
    </row>
    <row r="281" spans="1:7" hidden="1" x14ac:dyDescent="0.35">
      <c r="A281" s="1" t="s">
        <v>21</v>
      </c>
      <c r="B281" s="1" t="s">
        <v>14</v>
      </c>
      <c r="C281" s="1" t="s">
        <v>13</v>
      </c>
      <c r="D281" s="2">
        <v>44739</v>
      </c>
      <c r="E281" s="2" t="str">
        <f t="shared" si="4"/>
        <v>Jun</v>
      </c>
      <c r="F281" s="1">
        <v>9682.74</v>
      </c>
      <c r="G281" s="1">
        <v>394</v>
      </c>
    </row>
    <row r="282" spans="1:7" hidden="1" x14ac:dyDescent="0.35">
      <c r="A282" s="1" t="s">
        <v>20</v>
      </c>
      <c r="B282" s="1" t="s">
        <v>23</v>
      </c>
      <c r="C282" s="1" t="s">
        <v>35</v>
      </c>
      <c r="D282" s="2">
        <v>44580</v>
      </c>
      <c r="E282" s="2" t="str">
        <f t="shared" si="4"/>
        <v>Jan</v>
      </c>
      <c r="F282" s="1">
        <v>3241.7</v>
      </c>
      <c r="G282" s="1">
        <v>232</v>
      </c>
    </row>
    <row r="283" spans="1:7" hidden="1" x14ac:dyDescent="0.35">
      <c r="A283" s="1" t="s">
        <v>28</v>
      </c>
      <c r="B283" s="1" t="s">
        <v>12</v>
      </c>
      <c r="C283" s="1" t="s">
        <v>19</v>
      </c>
      <c r="D283" s="2">
        <v>44649</v>
      </c>
      <c r="E283" s="2" t="str">
        <f t="shared" si="4"/>
        <v>Mar</v>
      </c>
      <c r="F283" s="1">
        <v>10885.26</v>
      </c>
      <c r="G283" s="1">
        <v>233</v>
      </c>
    </row>
    <row r="284" spans="1:7" hidden="1" x14ac:dyDescent="0.35">
      <c r="A284" s="1" t="s">
        <v>22</v>
      </c>
      <c r="B284" s="1" t="s">
        <v>24</v>
      </c>
      <c r="C284" s="1" t="s">
        <v>35</v>
      </c>
      <c r="D284" s="2">
        <v>44736</v>
      </c>
      <c r="E284" s="2" t="str">
        <f t="shared" si="4"/>
        <v>Jun</v>
      </c>
      <c r="F284" s="1">
        <v>4934.32</v>
      </c>
      <c r="G284" s="1">
        <v>194</v>
      </c>
    </row>
    <row r="285" spans="1:7" x14ac:dyDescent="0.35">
      <c r="A285" s="1" t="s">
        <v>9</v>
      </c>
      <c r="B285" s="1" t="s">
        <v>14</v>
      </c>
      <c r="C285" s="1" t="s">
        <v>35</v>
      </c>
      <c r="D285" s="2">
        <v>44644</v>
      </c>
      <c r="E285" s="2" t="str">
        <f t="shared" si="4"/>
        <v>Mar</v>
      </c>
      <c r="F285" s="1">
        <v>21726.67</v>
      </c>
      <c r="G285" s="1">
        <v>436</v>
      </c>
    </row>
    <row r="286" spans="1:7" x14ac:dyDescent="0.35">
      <c r="A286" s="1" t="s">
        <v>9</v>
      </c>
      <c r="B286" s="1" t="s">
        <v>14</v>
      </c>
      <c r="C286" s="1" t="s">
        <v>13</v>
      </c>
      <c r="D286" s="2">
        <v>44669</v>
      </c>
      <c r="E286" s="2" t="str">
        <f t="shared" si="4"/>
        <v>Apr</v>
      </c>
      <c r="F286" s="1">
        <v>5873.54</v>
      </c>
      <c r="G286" s="1">
        <v>355</v>
      </c>
    </row>
    <row r="287" spans="1:7" hidden="1" x14ac:dyDescent="0.35">
      <c r="A287" s="1" t="s">
        <v>11</v>
      </c>
      <c r="B287" s="1" t="s">
        <v>7</v>
      </c>
      <c r="C287" s="1" t="s">
        <v>15</v>
      </c>
      <c r="D287" s="2">
        <v>44752</v>
      </c>
      <c r="E287" s="2" t="str">
        <f t="shared" si="4"/>
        <v>Jul</v>
      </c>
      <c r="F287" s="1">
        <v>9561.31</v>
      </c>
      <c r="G287" s="1">
        <v>268</v>
      </c>
    </row>
    <row r="288" spans="1:7" hidden="1" x14ac:dyDescent="0.35">
      <c r="A288" s="1" t="s">
        <v>11</v>
      </c>
      <c r="B288" s="1" t="s">
        <v>23</v>
      </c>
      <c r="C288" s="1" t="s">
        <v>33</v>
      </c>
      <c r="D288" s="2">
        <v>44618</v>
      </c>
      <c r="E288" s="2" t="str">
        <f t="shared" si="4"/>
        <v>Feb</v>
      </c>
      <c r="F288" s="1">
        <v>3463.01</v>
      </c>
      <c r="G288" s="1">
        <v>74</v>
      </c>
    </row>
    <row r="289" spans="1:7" hidden="1" x14ac:dyDescent="0.35">
      <c r="A289" s="1" t="s">
        <v>20</v>
      </c>
      <c r="B289" s="1" t="s">
        <v>24</v>
      </c>
      <c r="C289" s="1" t="s">
        <v>33</v>
      </c>
      <c r="D289" s="2">
        <v>44735</v>
      </c>
      <c r="E289" s="2" t="str">
        <f t="shared" si="4"/>
        <v>Jun</v>
      </c>
      <c r="F289" s="1">
        <v>136.05000000000001</v>
      </c>
      <c r="G289" s="1">
        <v>11</v>
      </c>
    </row>
    <row r="290" spans="1:7" hidden="1" x14ac:dyDescent="0.35">
      <c r="A290" s="1" t="s">
        <v>22</v>
      </c>
      <c r="B290" s="1" t="s">
        <v>23</v>
      </c>
      <c r="C290" s="1" t="s">
        <v>17</v>
      </c>
      <c r="D290" s="2">
        <v>44702</v>
      </c>
      <c r="E290" s="2" t="str">
        <f t="shared" si="4"/>
        <v>May</v>
      </c>
      <c r="F290" s="1">
        <v>3525.11</v>
      </c>
      <c r="G290" s="1">
        <v>215</v>
      </c>
    </row>
    <row r="291" spans="1:7" hidden="1" x14ac:dyDescent="0.35">
      <c r="A291" s="1" t="s">
        <v>22</v>
      </c>
      <c r="B291" s="1" t="s">
        <v>23</v>
      </c>
      <c r="C291" s="1" t="s">
        <v>33</v>
      </c>
      <c r="D291" s="2">
        <v>44659</v>
      </c>
      <c r="E291" s="2" t="str">
        <f t="shared" si="4"/>
        <v>Apr</v>
      </c>
      <c r="F291" s="1">
        <v>4819.1499999999996</v>
      </c>
      <c r="G291" s="1">
        <v>332</v>
      </c>
    </row>
    <row r="292" spans="1:7" hidden="1" x14ac:dyDescent="0.35">
      <c r="A292" s="1" t="s">
        <v>28</v>
      </c>
      <c r="B292" s="1" t="s">
        <v>7</v>
      </c>
      <c r="C292" s="1" t="s">
        <v>30</v>
      </c>
      <c r="D292" s="2">
        <v>44794</v>
      </c>
      <c r="E292" s="2" t="str">
        <f t="shared" si="4"/>
        <v>Aug</v>
      </c>
      <c r="F292" s="1">
        <v>5661.96</v>
      </c>
      <c r="G292" s="1">
        <v>136</v>
      </c>
    </row>
    <row r="293" spans="1:7" hidden="1" x14ac:dyDescent="0.35">
      <c r="A293" s="1" t="s">
        <v>20</v>
      </c>
      <c r="B293" s="1" t="s">
        <v>23</v>
      </c>
      <c r="C293" s="1" t="s">
        <v>29</v>
      </c>
      <c r="D293" s="2">
        <v>44589</v>
      </c>
      <c r="E293" s="2" t="str">
        <f t="shared" si="4"/>
        <v>Jan</v>
      </c>
      <c r="F293" s="1">
        <v>980.84</v>
      </c>
      <c r="G293" s="1">
        <v>39</v>
      </c>
    </row>
    <row r="294" spans="1:7" hidden="1" x14ac:dyDescent="0.35">
      <c r="A294" s="1" t="s">
        <v>6</v>
      </c>
      <c r="B294" s="1" t="s">
        <v>23</v>
      </c>
      <c r="C294" s="1" t="s">
        <v>33</v>
      </c>
      <c r="D294" s="2">
        <v>44778</v>
      </c>
      <c r="E294" s="2" t="str">
        <f t="shared" si="4"/>
        <v>Aug</v>
      </c>
      <c r="F294" s="1">
        <v>1430.77</v>
      </c>
      <c r="G294" s="1">
        <v>38</v>
      </c>
    </row>
    <row r="295" spans="1:7" hidden="1" x14ac:dyDescent="0.35">
      <c r="A295" s="1" t="s">
        <v>21</v>
      </c>
      <c r="B295" s="1" t="s">
        <v>12</v>
      </c>
      <c r="C295" s="1" t="s">
        <v>30</v>
      </c>
      <c r="D295" s="2">
        <v>44769</v>
      </c>
      <c r="E295" s="2" t="str">
        <f t="shared" si="4"/>
        <v>Jul</v>
      </c>
      <c r="F295" s="1">
        <v>1178.22</v>
      </c>
      <c r="G295" s="1">
        <v>40</v>
      </c>
    </row>
    <row r="296" spans="1:7" hidden="1" x14ac:dyDescent="0.35">
      <c r="A296" s="1" t="s">
        <v>6</v>
      </c>
      <c r="B296" s="1" t="s">
        <v>14</v>
      </c>
      <c r="C296" s="1" t="s">
        <v>13</v>
      </c>
      <c r="D296" s="2">
        <v>44610</v>
      </c>
      <c r="E296" s="2" t="str">
        <f t="shared" si="4"/>
        <v>Feb</v>
      </c>
      <c r="F296" s="1">
        <v>9645.48</v>
      </c>
      <c r="G296" s="1">
        <v>286</v>
      </c>
    </row>
    <row r="297" spans="1:7" hidden="1" x14ac:dyDescent="0.35">
      <c r="A297" s="1" t="s">
        <v>34</v>
      </c>
      <c r="B297" s="1" t="s">
        <v>14</v>
      </c>
      <c r="C297" s="1" t="s">
        <v>32</v>
      </c>
      <c r="D297" s="2">
        <v>44603</v>
      </c>
      <c r="E297" s="2" t="str">
        <f t="shared" si="4"/>
        <v>Feb</v>
      </c>
      <c r="F297" s="1">
        <v>3703.09</v>
      </c>
      <c r="G297" s="1">
        <v>141</v>
      </c>
    </row>
    <row r="298" spans="1:7" hidden="1" x14ac:dyDescent="0.35">
      <c r="A298" s="1" t="s">
        <v>26</v>
      </c>
      <c r="B298" s="1" t="s">
        <v>14</v>
      </c>
      <c r="C298" s="1" t="s">
        <v>36</v>
      </c>
      <c r="D298" s="2">
        <v>44620</v>
      </c>
      <c r="E298" s="2" t="str">
        <f t="shared" si="4"/>
        <v>Feb</v>
      </c>
      <c r="F298" s="1">
        <v>10465.99</v>
      </c>
      <c r="G298" s="1">
        <v>393</v>
      </c>
    </row>
    <row r="299" spans="1:7" hidden="1" x14ac:dyDescent="0.35">
      <c r="A299" s="1" t="s">
        <v>16</v>
      </c>
      <c r="B299" s="1" t="s">
        <v>12</v>
      </c>
      <c r="C299" s="1" t="s">
        <v>29</v>
      </c>
      <c r="D299" s="2">
        <v>44647</v>
      </c>
      <c r="E299" s="2" t="str">
        <f t="shared" si="4"/>
        <v>Mar</v>
      </c>
      <c r="F299" s="1">
        <v>11297.48</v>
      </c>
      <c r="G299" s="1">
        <v>314</v>
      </c>
    </row>
    <row r="300" spans="1:7" hidden="1" x14ac:dyDescent="0.35">
      <c r="A300" s="1" t="s">
        <v>11</v>
      </c>
      <c r="B300" s="1" t="s">
        <v>24</v>
      </c>
      <c r="C300" s="1" t="s">
        <v>35</v>
      </c>
      <c r="D300" s="2">
        <v>44768</v>
      </c>
      <c r="E300" s="2" t="str">
        <f t="shared" si="4"/>
        <v>Jul</v>
      </c>
      <c r="F300" s="1">
        <v>9203.3799999999992</v>
      </c>
      <c r="G300" s="1">
        <v>400</v>
      </c>
    </row>
    <row r="301" spans="1:7" hidden="1" x14ac:dyDescent="0.35">
      <c r="A301" s="1" t="s">
        <v>6</v>
      </c>
      <c r="B301" s="1" t="s">
        <v>12</v>
      </c>
      <c r="C301" s="1" t="s">
        <v>25</v>
      </c>
      <c r="D301" s="2">
        <v>44749</v>
      </c>
      <c r="E301" s="2" t="str">
        <f t="shared" si="4"/>
        <v>Jul</v>
      </c>
      <c r="F301" s="1">
        <v>10092.43</v>
      </c>
      <c r="G301" s="1">
        <v>239</v>
      </c>
    </row>
    <row r="302" spans="1:7" x14ac:dyDescent="0.35">
      <c r="A302" s="1" t="s">
        <v>9</v>
      </c>
      <c r="B302" s="1" t="s">
        <v>14</v>
      </c>
      <c r="C302" s="1" t="s">
        <v>27</v>
      </c>
      <c r="D302" s="2">
        <v>44753</v>
      </c>
      <c r="E302" s="2" t="str">
        <f t="shared" si="4"/>
        <v>Jul</v>
      </c>
      <c r="F302" s="1">
        <v>2394.9</v>
      </c>
      <c r="G302" s="1">
        <v>84</v>
      </c>
    </row>
    <row r="303" spans="1:7" x14ac:dyDescent="0.35">
      <c r="A303" s="1" t="s">
        <v>9</v>
      </c>
      <c r="B303" s="1" t="s">
        <v>23</v>
      </c>
      <c r="C303" s="1" t="s">
        <v>29</v>
      </c>
      <c r="D303" s="2">
        <v>44592</v>
      </c>
      <c r="E303" s="2" t="str">
        <f t="shared" si="4"/>
        <v>Jan</v>
      </c>
      <c r="F303" s="1">
        <v>4157.41</v>
      </c>
      <c r="G303" s="1">
        <v>264</v>
      </c>
    </row>
    <row r="304" spans="1:7" hidden="1" x14ac:dyDescent="0.35">
      <c r="A304" s="1" t="s">
        <v>34</v>
      </c>
      <c r="B304" s="1" t="s">
        <v>23</v>
      </c>
      <c r="C304" s="1" t="s">
        <v>19</v>
      </c>
      <c r="D304" s="2">
        <v>44740</v>
      </c>
      <c r="E304" s="2" t="str">
        <f t="shared" si="4"/>
        <v>Jun</v>
      </c>
      <c r="F304" s="1">
        <v>3986.46</v>
      </c>
      <c r="G304" s="1">
        <v>140</v>
      </c>
    </row>
    <row r="305" spans="1:7" hidden="1" x14ac:dyDescent="0.35">
      <c r="A305" s="1" t="s">
        <v>16</v>
      </c>
      <c r="B305" s="1" t="s">
        <v>14</v>
      </c>
      <c r="C305" s="1" t="s">
        <v>17</v>
      </c>
      <c r="D305" s="2">
        <v>44715</v>
      </c>
      <c r="E305" s="2" t="str">
        <f t="shared" si="4"/>
        <v>Jun</v>
      </c>
      <c r="F305" s="1">
        <v>16045.86</v>
      </c>
      <c r="G305" s="1">
        <v>477</v>
      </c>
    </row>
    <row r="306" spans="1:7" x14ac:dyDescent="0.35">
      <c r="A306" s="1" t="s">
        <v>9</v>
      </c>
      <c r="B306" s="1" t="s">
        <v>14</v>
      </c>
      <c r="C306" s="1" t="s">
        <v>8</v>
      </c>
      <c r="D306" s="2">
        <v>44588</v>
      </c>
      <c r="E306" s="2" t="str">
        <f t="shared" si="4"/>
        <v>Jan</v>
      </c>
      <c r="F306" s="1">
        <v>5616.37</v>
      </c>
      <c r="G306" s="1">
        <v>246</v>
      </c>
    </row>
    <row r="307" spans="1:7" hidden="1" x14ac:dyDescent="0.35">
      <c r="A307" s="1" t="s">
        <v>20</v>
      </c>
      <c r="B307" s="1" t="s">
        <v>12</v>
      </c>
      <c r="C307" s="1" t="s">
        <v>31</v>
      </c>
      <c r="D307" s="2">
        <v>44784</v>
      </c>
      <c r="E307" s="2" t="str">
        <f t="shared" si="4"/>
        <v>Aug</v>
      </c>
      <c r="F307" s="1">
        <v>1741.42</v>
      </c>
      <c r="G307" s="1">
        <v>42</v>
      </c>
    </row>
    <row r="308" spans="1:7" hidden="1" x14ac:dyDescent="0.35">
      <c r="A308" s="1" t="s">
        <v>34</v>
      </c>
      <c r="B308" s="1" t="s">
        <v>23</v>
      </c>
      <c r="C308" s="1" t="s">
        <v>30</v>
      </c>
      <c r="D308" s="2">
        <v>44769</v>
      </c>
      <c r="E308" s="2" t="str">
        <f t="shared" si="4"/>
        <v>Jul</v>
      </c>
      <c r="F308" s="1">
        <v>4344.3500000000004</v>
      </c>
      <c r="G308" s="1">
        <v>109</v>
      </c>
    </row>
    <row r="309" spans="1:7" hidden="1" x14ac:dyDescent="0.35">
      <c r="A309" s="1" t="s">
        <v>28</v>
      </c>
      <c r="B309" s="1" t="s">
        <v>24</v>
      </c>
      <c r="C309" s="1" t="s">
        <v>13</v>
      </c>
      <c r="D309" s="2">
        <v>44629</v>
      </c>
      <c r="E309" s="2" t="str">
        <f t="shared" si="4"/>
        <v>Mar</v>
      </c>
      <c r="F309" s="1">
        <v>8483.48</v>
      </c>
      <c r="G309" s="1">
        <v>342</v>
      </c>
    </row>
    <row r="310" spans="1:7" hidden="1" x14ac:dyDescent="0.35">
      <c r="A310" s="1" t="s">
        <v>22</v>
      </c>
      <c r="B310" s="1" t="s">
        <v>14</v>
      </c>
      <c r="C310" s="1" t="s">
        <v>15</v>
      </c>
      <c r="D310" s="2">
        <v>44687</v>
      </c>
      <c r="E310" s="2" t="str">
        <f t="shared" si="4"/>
        <v>May</v>
      </c>
      <c r="F310" s="1">
        <v>723.29</v>
      </c>
      <c r="G310" s="1">
        <v>27</v>
      </c>
    </row>
    <row r="311" spans="1:7" hidden="1" x14ac:dyDescent="0.35">
      <c r="A311" s="1" t="s">
        <v>6</v>
      </c>
      <c r="B311" s="1" t="s">
        <v>10</v>
      </c>
      <c r="C311" s="1" t="s">
        <v>15</v>
      </c>
      <c r="D311" s="2">
        <v>44581</v>
      </c>
      <c r="E311" s="2" t="str">
        <f t="shared" si="4"/>
        <v>Jan</v>
      </c>
      <c r="F311" s="1">
        <v>4476</v>
      </c>
      <c r="G311" s="1">
        <v>343</v>
      </c>
    </row>
    <row r="312" spans="1:7" hidden="1" x14ac:dyDescent="0.35">
      <c r="A312" s="1" t="s">
        <v>16</v>
      </c>
      <c r="B312" s="1" t="s">
        <v>14</v>
      </c>
      <c r="C312" s="1" t="s">
        <v>36</v>
      </c>
      <c r="D312" s="2">
        <v>44690</v>
      </c>
      <c r="E312" s="2" t="str">
        <f t="shared" si="4"/>
        <v>May</v>
      </c>
      <c r="F312" s="1">
        <v>13449.54</v>
      </c>
      <c r="G312" s="1">
        <v>299</v>
      </c>
    </row>
    <row r="313" spans="1:7" hidden="1" x14ac:dyDescent="0.35">
      <c r="A313" s="1" t="s">
        <v>11</v>
      </c>
      <c r="B313" s="1" t="s">
        <v>14</v>
      </c>
      <c r="C313" s="1" t="s">
        <v>30</v>
      </c>
      <c r="D313" s="2">
        <v>44769</v>
      </c>
      <c r="E313" s="2" t="str">
        <f t="shared" si="4"/>
        <v>Jul</v>
      </c>
      <c r="F313" s="1">
        <v>13220.1</v>
      </c>
      <c r="G313" s="1">
        <v>305</v>
      </c>
    </row>
    <row r="314" spans="1:7" hidden="1" x14ac:dyDescent="0.35">
      <c r="A314" s="1" t="s">
        <v>22</v>
      </c>
      <c r="B314" s="1" t="s">
        <v>23</v>
      </c>
      <c r="C314" s="1" t="s">
        <v>36</v>
      </c>
      <c r="D314" s="2">
        <v>44715</v>
      </c>
      <c r="E314" s="2" t="str">
        <f t="shared" si="4"/>
        <v>Jun</v>
      </c>
      <c r="F314" s="1">
        <v>16987.7</v>
      </c>
      <c r="G314" s="1">
        <v>411</v>
      </c>
    </row>
    <row r="315" spans="1:7" hidden="1" x14ac:dyDescent="0.35">
      <c r="A315" s="1" t="s">
        <v>11</v>
      </c>
      <c r="B315" s="1" t="s">
        <v>23</v>
      </c>
      <c r="C315" s="1" t="s">
        <v>17</v>
      </c>
      <c r="D315" s="2">
        <v>44752</v>
      </c>
      <c r="E315" s="2" t="str">
        <f t="shared" si="4"/>
        <v>Jul</v>
      </c>
      <c r="F315" s="1">
        <v>9085.51</v>
      </c>
      <c r="G315" s="1">
        <v>237</v>
      </c>
    </row>
    <row r="316" spans="1:7" hidden="1" x14ac:dyDescent="0.35">
      <c r="A316" s="1" t="s">
        <v>22</v>
      </c>
      <c r="B316" s="1" t="s">
        <v>24</v>
      </c>
      <c r="C316" s="1" t="s">
        <v>35</v>
      </c>
      <c r="D316" s="2">
        <v>44739</v>
      </c>
      <c r="E316" s="2" t="str">
        <f t="shared" si="4"/>
        <v>Jun</v>
      </c>
      <c r="F316" s="1">
        <v>11544.08</v>
      </c>
      <c r="G316" s="1">
        <v>423</v>
      </c>
    </row>
    <row r="317" spans="1:7" hidden="1" x14ac:dyDescent="0.35">
      <c r="A317" s="1" t="s">
        <v>22</v>
      </c>
      <c r="B317" s="1" t="s">
        <v>24</v>
      </c>
      <c r="C317" s="1" t="s">
        <v>29</v>
      </c>
      <c r="D317" s="2">
        <v>44674</v>
      </c>
      <c r="E317" s="2" t="str">
        <f t="shared" si="4"/>
        <v>Apr</v>
      </c>
      <c r="F317" s="1">
        <v>12587.78</v>
      </c>
      <c r="G317" s="1">
        <v>297</v>
      </c>
    </row>
    <row r="318" spans="1:7" hidden="1" x14ac:dyDescent="0.35">
      <c r="A318" s="1" t="s">
        <v>28</v>
      </c>
      <c r="B318" s="1" t="s">
        <v>7</v>
      </c>
      <c r="C318" s="1" t="s">
        <v>15</v>
      </c>
      <c r="D318" s="2">
        <v>44668</v>
      </c>
      <c r="E318" s="2" t="str">
        <f t="shared" si="4"/>
        <v>Apr</v>
      </c>
      <c r="F318" s="1">
        <v>12202.64</v>
      </c>
      <c r="G318" s="1">
        <v>321</v>
      </c>
    </row>
    <row r="319" spans="1:7" hidden="1" x14ac:dyDescent="0.35">
      <c r="A319" s="1" t="s">
        <v>26</v>
      </c>
      <c r="B319" s="1" t="s">
        <v>10</v>
      </c>
      <c r="C319" s="1" t="s">
        <v>36</v>
      </c>
      <c r="D319" s="2">
        <v>44584</v>
      </c>
      <c r="E319" s="2" t="str">
        <f t="shared" si="4"/>
        <v>Jan</v>
      </c>
      <c r="F319" s="1">
        <v>6319.71</v>
      </c>
      <c r="G319" s="1">
        <v>366</v>
      </c>
    </row>
    <row r="320" spans="1:7" hidden="1" x14ac:dyDescent="0.35">
      <c r="A320" s="1" t="s">
        <v>22</v>
      </c>
      <c r="B320" s="1" t="s">
        <v>14</v>
      </c>
      <c r="C320" s="1" t="s">
        <v>31</v>
      </c>
      <c r="D320" s="2">
        <v>44610</v>
      </c>
      <c r="E320" s="2" t="str">
        <f t="shared" si="4"/>
        <v>Feb</v>
      </c>
      <c r="F320" s="1">
        <v>16902.63</v>
      </c>
      <c r="G320" s="1">
        <v>472</v>
      </c>
    </row>
    <row r="321" spans="1:7" hidden="1" x14ac:dyDescent="0.35">
      <c r="A321" s="1" t="s">
        <v>28</v>
      </c>
      <c r="B321" s="1" t="s">
        <v>12</v>
      </c>
      <c r="C321" s="1" t="s">
        <v>19</v>
      </c>
      <c r="D321" s="2">
        <v>44776</v>
      </c>
      <c r="E321" s="2" t="str">
        <f t="shared" si="4"/>
        <v>Aug</v>
      </c>
      <c r="F321" s="1">
        <v>5408.77</v>
      </c>
      <c r="G321" s="1">
        <v>412</v>
      </c>
    </row>
    <row r="322" spans="1:7" hidden="1" x14ac:dyDescent="0.35">
      <c r="A322" s="1" t="s">
        <v>11</v>
      </c>
      <c r="B322" s="1" t="s">
        <v>14</v>
      </c>
      <c r="C322" s="1" t="s">
        <v>25</v>
      </c>
      <c r="D322" s="2">
        <v>44683</v>
      </c>
      <c r="E322" s="2" t="str">
        <f t="shared" si="4"/>
        <v>May</v>
      </c>
      <c r="F322" s="1">
        <v>11725.2</v>
      </c>
      <c r="G322" s="1">
        <v>314</v>
      </c>
    </row>
    <row r="323" spans="1:7" hidden="1" x14ac:dyDescent="0.35">
      <c r="A323" s="1" t="s">
        <v>28</v>
      </c>
      <c r="B323" s="1" t="s">
        <v>7</v>
      </c>
      <c r="C323" s="1" t="s">
        <v>19</v>
      </c>
      <c r="D323" s="2">
        <v>44673</v>
      </c>
      <c r="E323" s="2" t="str">
        <f t="shared" ref="E323:E375" si="5">TEXT(D323, "mmm")</f>
        <v>Apr</v>
      </c>
      <c r="F323" s="1">
        <v>9669.7099999999991</v>
      </c>
      <c r="G323" s="1">
        <v>376</v>
      </c>
    </row>
    <row r="324" spans="1:7" hidden="1" x14ac:dyDescent="0.35">
      <c r="A324" s="1" t="s">
        <v>11</v>
      </c>
      <c r="B324" s="1" t="s">
        <v>14</v>
      </c>
      <c r="C324" s="1" t="s">
        <v>29</v>
      </c>
      <c r="D324" s="2">
        <v>44564</v>
      </c>
      <c r="E324" s="2" t="str">
        <f t="shared" si="5"/>
        <v>Jan</v>
      </c>
      <c r="F324" s="1">
        <v>2875.15</v>
      </c>
      <c r="G324" s="1">
        <v>201</v>
      </c>
    </row>
    <row r="325" spans="1:7" hidden="1" x14ac:dyDescent="0.35">
      <c r="A325" s="1" t="s">
        <v>16</v>
      </c>
      <c r="B325" s="1" t="s">
        <v>12</v>
      </c>
      <c r="C325" s="1" t="s">
        <v>35</v>
      </c>
      <c r="D325" s="2">
        <v>44631</v>
      </c>
      <c r="E325" s="2" t="str">
        <f t="shared" si="5"/>
        <v>Mar</v>
      </c>
      <c r="F325" s="1">
        <v>14214.55</v>
      </c>
      <c r="G325" s="1">
        <v>447</v>
      </c>
    </row>
    <row r="326" spans="1:7" hidden="1" x14ac:dyDescent="0.35">
      <c r="A326" s="1" t="s">
        <v>34</v>
      </c>
      <c r="B326" s="1" t="s">
        <v>12</v>
      </c>
      <c r="C326" s="1" t="s">
        <v>13</v>
      </c>
      <c r="D326" s="2">
        <v>44625</v>
      </c>
      <c r="E326" s="2" t="str">
        <f t="shared" si="5"/>
        <v>Mar</v>
      </c>
      <c r="F326" s="1">
        <v>1195.52</v>
      </c>
      <c r="G326" s="1">
        <v>29</v>
      </c>
    </row>
    <row r="327" spans="1:7" hidden="1" x14ac:dyDescent="0.35">
      <c r="A327" s="1" t="s">
        <v>22</v>
      </c>
      <c r="B327" s="1" t="s">
        <v>23</v>
      </c>
      <c r="C327" s="1" t="s">
        <v>31</v>
      </c>
      <c r="D327" s="2">
        <v>44685</v>
      </c>
      <c r="E327" s="2" t="str">
        <f t="shared" si="5"/>
        <v>May</v>
      </c>
      <c r="F327" s="1">
        <v>16375.54</v>
      </c>
      <c r="G327" s="1">
        <v>491</v>
      </c>
    </row>
    <row r="328" spans="1:7" x14ac:dyDescent="0.35">
      <c r="A328" s="1" t="s">
        <v>9</v>
      </c>
      <c r="B328" s="1" t="s">
        <v>14</v>
      </c>
      <c r="C328" s="1" t="s">
        <v>8</v>
      </c>
      <c r="D328" s="2">
        <v>44644</v>
      </c>
      <c r="E328" s="2" t="str">
        <f t="shared" si="5"/>
        <v>Mar</v>
      </c>
      <c r="F328" s="1">
        <v>8190.32</v>
      </c>
      <c r="G328" s="1">
        <v>240</v>
      </c>
    </row>
    <row r="329" spans="1:7" x14ac:dyDescent="0.35">
      <c r="A329" s="1" t="s">
        <v>9</v>
      </c>
      <c r="B329" s="1" t="s">
        <v>14</v>
      </c>
      <c r="C329" s="1" t="s">
        <v>31</v>
      </c>
      <c r="D329" s="2">
        <v>44705</v>
      </c>
      <c r="E329" s="2" t="str">
        <f t="shared" si="5"/>
        <v>May</v>
      </c>
      <c r="F329" s="1">
        <v>19125.150000000001</v>
      </c>
      <c r="G329" s="1">
        <v>488</v>
      </c>
    </row>
    <row r="330" spans="1:7" hidden="1" x14ac:dyDescent="0.35">
      <c r="A330" s="1" t="s">
        <v>6</v>
      </c>
      <c r="B330" s="1" t="s">
        <v>23</v>
      </c>
      <c r="C330" s="1" t="s">
        <v>27</v>
      </c>
      <c r="D330" s="2">
        <v>44666</v>
      </c>
      <c r="E330" s="2" t="str">
        <f t="shared" si="5"/>
        <v>Apr</v>
      </c>
      <c r="F330" s="1">
        <v>585.65</v>
      </c>
      <c r="G330" s="1">
        <v>20</v>
      </c>
    </row>
    <row r="331" spans="1:7" hidden="1" x14ac:dyDescent="0.35">
      <c r="A331" s="1" t="s">
        <v>6</v>
      </c>
      <c r="B331" s="1" t="s">
        <v>10</v>
      </c>
      <c r="C331" s="1" t="s">
        <v>8</v>
      </c>
      <c r="D331" s="2">
        <v>44646</v>
      </c>
      <c r="E331" s="2" t="str">
        <f t="shared" si="5"/>
        <v>Mar</v>
      </c>
      <c r="F331" s="1">
        <v>20317.259999999998</v>
      </c>
      <c r="G331" s="1">
        <v>485</v>
      </c>
    </row>
    <row r="332" spans="1:7" hidden="1" x14ac:dyDescent="0.35">
      <c r="A332" s="1" t="s">
        <v>34</v>
      </c>
      <c r="B332" s="1" t="s">
        <v>14</v>
      </c>
      <c r="C332" s="1" t="s">
        <v>18</v>
      </c>
      <c r="D332" s="2">
        <v>44780</v>
      </c>
      <c r="E332" s="2" t="str">
        <f t="shared" si="5"/>
        <v>Aug</v>
      </c>
      <c r="F332" s="1">
        <v>9887.34</v>
      </c>
      <c r="G332" s="1">
        <v>320</v>
      </c>
    </row>
    <row r="333" spans="1:7" hidden="1" x14ac:dyDescent="0.35">
      <c r="A333" s="1" t="s">
        <v>16</v>
      </c>
      <c r="B333" s="1" t="s">
        <v>7</v>
      </c>
      <c r="C333" s="1" t="s">
        <v>35</v>
      </c>
      <c r="D333" s="2">
        <v>44773</v>
      </c>
      <c r="E333" s="2" t="str">
        <f t="shared" si="5"/>
        <v>Jul</v>
      </c>
      <c r="F333" s="1">
        <v>8194.42</v>
      </c>
      <c r="G333" s="1">
        <v>276</v>
      </c>
    </row>
    <row r="334" spans="1:7" hidden="1" x14ac:dyDescent="0.35">
      <c r="A334" s="1" t="s">
        <v>20</v>
      </c>
      <c r="B334" s="1" t="s">
        <v>23</v>
      </c>
      <c r="C334" s="1" t="s">
        <v>31</v>
      </c>
      <c r="D334" s="2">
        <v>44646</v>
      </c>
      <c r="E334" s="2" t="str">
        <f t="shared" si="5"/>
        <v>Mar</v>
      </c>
      <c r="F334" s="1">
        <v>7471.71</v>
      </c>
      <c r="G334" s="1">
        <v>491</v>
      </c>
    </row>
    <row r="335" spans="1:7" hidden="1" x14ac:dyDescent="0.35">
      <c r="A335" s="1" t="s">
        <v>16</v>
      </c>
      <c r="B335" s="1" t="s">
        <v>10</v>
      </c>
      <c r="C335" s="1" t="s">
        <v>36</v>
      </c>
      <c r="D335" s="2">
        <v>44714</v>
      </c>
      <c r="E335" s="2" t="str">
        <f t="shared" si="5"/>
        <v>Jun</v>
      </c>
      <c r="F335" s="1">
        <v>7060.26</v>
      </c>
      <c r="G335" s="1">
        <v>142</v>
      </c>
    </row>
    <row r="336" spans="1:7" hidden="1" x14ac:dyDescent="0.35">
      <c r="A336" s="1" t="s">
        <v>22</v>
      </c>
      <c r="B336" s="1" t="s">
        <v>10</v>
      </c>
      <c r="C336" s="1" t="s">
        <v>15</v>
      </c>
      <c r="D336" s="2">
        <v>44714</v>
      </c>
      <c r="E336" s="2" t="str">
        <f t="shared" si="5"/>
        <v>Jun</v>
      </c>
      <c r="F336" s="1">
        <v>13053.64</v>
      </c>
      <c r="G336" s="1">
        <v>282</v>
      </c>
    </row>
    <row r="337" spans="1:7" hidden="1" x14ac:dyDescent="0.35">
      <c r="A337" s="1" t="s">
        <v>34</v>
      </c>
      <c r="B337" s="1" t="s">
        <v>24</v>
      </c>
      <c r="C337" s="1" t="s">
        <v>35</v>
      </c>
      <c r="D337" s="2">
        <v>44680</v>
      </c>
      <c r="E337" s="2" t="str">
        <f t="shared" si="5"/>
        <v>Apr</v>
      </c>
      <c r="F337" s="1">
        <v>8399.02</v>
      </c>
      <c r="G337" s="1">
        <v>181</v>
      </c>
    </row>
    <row r="338" spans="1:7" hidden="1" x14ac:dyDescent="0.35">
      <c r="A338" s="1" t="s">
        <v>22</v>
      </c>
      <c r="B338" s="1" t="s">
        <v>10</v>
      </c>
      <c r="C338" s="1" t="s">
        <v>32</v>
      </c>
      <c r="D338" s="2">
        <v>44631</v>
      </c>
      <c r="E338" s="2" t="str">
        <f t="shared" si="5"/>
        <v>Mar</v>
      </c>
      <c r="F338" s="1">
        <v>7990.6</v>
      </c>
      <c r="G338" s="1">
        <v>199</v>
      </c>
    </row>
    <row r="339" spans="1:7" hidden="1" x14ac:dyDescent="0.35">
      <c r="A339" s="1" t="s">
        <v>22</v>
      </c>
      <c r="B339" s="1" t="s">
        <v>23</v>
      </c>
      <c r="C339" s="1" t="s">
        <v>8</v>
      </c>
      <c r="D339" s="2">
        <v>44767</v>
      </c>
      <c r="E339" s="2" t="str">
        <f t="shared" si="5"/>
        <v>Jul</v>
      </c>
      <c r="F339" s="1">
        <v>11098.01</v>
      </c>
      <c r="G339" s="1">
        <v>225</v>
      </c>
    </row>
    <row r="340" spans="1:7" hidden="1" x14ac:dyDescent="0.35">
      <c r="A340" s="1" t="s">
        <v>6</v>
      </c>
      <c r="B340" s="1" t="s">
        <v>23</v>
      </c>
      <c r="C340" s="1" t="s">
        <v>13</v>
      </c>
      <c r="D340" s="2">
        <v>44684</v>
      </c>
      <c r="E340" s="2" t="str">
        <f t="shared" si="5"/>
        <v>May</v>
      </c>
      <c r="F340" s="1">
        <v>19951.07</v>
      </c>
      <c r="G340" s="1">
        <v>426</v>
      </c>
    </row>
    <row r="341" spans="1:7" hidden="1" x14ac:dyDescent="0.35">
      <c r="A341" s="1" t="s">
        <v>6</v>
      </c>
      <c r="B341" s="1" t="s">
        <v>23</v>
      </c>
      <c r="C341" s="1" t="s">
        <v>32</v>
      </c>
      <c r="D341" s="2">
        <v>44569</v>
      </c>
      <c r="E341" s="2" t="str">
        <f t="shared" si="5"/>
        <v>Jan</v>
      </c>
      <c r="F341" s="1">
        <v>119.82</v>
      </c>
      <c r="G341" s="1">
        <v>10</v>
      </c>
    </row>
    <row r="342" spans="1:7" hidden="1" x14ac:dyDescent="0.35">
      <c r="A342" s="1" t="s">
        <v>16</v>
      </c>
      <c r="B342" s="1" t="s">
        <v>24</v>
      </c>
      <c r="C342" s="1" t="s">
        <v>35</v>
      </c>
      <c r="D342" s="2">
        <v>44563</v>
      </c>
      <c r="E342" s="2" t="str">
        <f t="shared" si="5"/>
        <v>Jan</v>
      </c>
      <c r="F342" s="1">
        <v>12551.57</v>
      </c>
      <c r="G342" s="1">
        <v>377</v>
      </c>
    </row>
    <row r="343" spans="1:7" hidden="1" x14ac:dyDescent="0.35">
      <c r="A343" s="1" t="s">
        <v>21</v>
      </c>
      <c r="B343" s="1" t="s">
        <v>24</v>
      </c>
      <c r="C343" s="1" t="s">
        <v>18</v>
      </c>
      <c r="D343" s="2">
        <v>44771</v>
      </c>
      <c r="E343" s="2" t="str">
        <f t="shared" si="5"/>
        <v>Jul</v>
      </c>
      <c r="F343" s="1">
        <v>7718.1</v>
      </c>
      <c r="G343" s="1">
        <v>265</v>
      </c>
    </row>
    <row r="344" spans="1:7" hidden="1" x14ac:dyDescent="0.35">
      <c r="A344" s="1" t="s">
        <v>11</v>
      </c>
      <c r="B344" s="1" t="s">
        <v>14</v>
      </c>
      <c r="C344" s="1" t="s">
        <v>13</v>
      </c>
      <c r="D344" s="2">
        <v>44771</v>
      </c>
      <c r="E344" s="2" t="str">
        <f t="shared" si="5"/>
        <v>Jul</v>
      </c>
      <c r="F344" s="1">
        <v>6264.79</v>
      </c>
      <c r="G344" s="1">
        <v>163</v>
      </c>
    </row>
    <row r="345" spans="1:7" x14ac:dyDescent="0.35">
      <c r="A345" s="1" t="s">
        <v>9</v>
      </c>
      <c r="B345" s="1" t="s">
        <v>23</v>
      </c>
      <c r="C345" s="1" t="s">
        <v>30</v>
      </c>
      <c r="D345" s="2">
        <v>44567</v>
      </c>
      <c r="E345" s="2" t="str">
        <f t="shared" si="5"/>
        <v>Jan</v>
      </c>
      <c r="F345" s="1">
        <v>1617.05</v>
      </c>
      <c r="G345" s="1">
        <v>69</v>
      </c>
    </row>
    <row r="346" spans="1:7" hidden="1" x14ac:dyDescent="0.35">
      <c r="A346" s="1" t="s">
        <v>20</v>
      </c>
      <c r="B346" s="1" t="s">
        <v>12</v>
      </c>
      <c r="C346" s="1" t="s">
        <v>33</v>
      </c>
      <c r="D346" s="2">
        <v>44646</v>
      </c>
      <c r="E346" s="2" t="str">
        <f t="shared" si="5"/>
        <v>Mar</v>
      </c>
      <c r="F346" s="1">
        <v>2630.52</v>
      </c>
      <c r="G346" s="1">
        <v>64</v>
      </c>
    </row>
    <row r="347" spans="1:7" hidden="1" x14ac:dyDescent="0.35">
      <c r="A347" s="1" t="s">
        <v>22</v>
      </c>
      <c r="B347" s="1" t="s">
        <v>24</v>
      </c>
      <c r="C347" s="1" t="s">
        <v>36</v>
      </c>
      <c r="D347" s="2">
        <v>44801</v>
      </c>
      <c r="E347" s="2" t="str">
        <f t="shared" si="5"/>
        <v>Aug</v>
      </c>
      <c r="F347" s="1">
        <v>5024.53</v>
      </c>
      <c r="G347" s="1">
        <v>251</v>
      </c>
    </row>
    <row r="348" spans="1:7" hidden="1" x14ac:dyDescent="0.35">
      <c r="A348" s="1" t="s">
        <v>6</v>
      </c>
      <c r="B348" s="1" t="s">
        <v>7</v>
      </c>
      <c r="C348" s="1" t="s">
        <v>27</v>
      </c>
      <c r="D348" s="2">
        <v>44588</v>
      </c>
      <c r="E348" s="2" t="str">
        <f t="shared" si="5"/>
        <v>Jan</v>
      </c>
      <c r="F348" s="1">
        <v>19586.580000000002</v>
      </c>
      <c r="G348" s="1">
        <v>451</v>
      </c>
    </row>
    <row r="349" spans="1:7" hidden="1" x14ac:dyDescent="0.35">
      <c r="A349" s="1" t="s">
        <v>6</v>
      </c>
      <c r="B349" s="1" t="s">
        <v>7</v>
      </c>
      <c r="C349" s="1" t="s">
        <v>31</v>
      </c>
      <c r="D349" s="2">
        <v>44753</v>
      </c>
      <c r="E349" s="2" t="str">
        <f t="shared" si="5"/>
        <v>Jul</v>
      </c>
      <c r="F349" s="1">
        <v>1905.06</v>
      </c>
      <c r="G349" s="1">
        <v>40</v>
      </c>
    </row>
    <row r="350" spans="1:7" hidden="1" x14ac:dyDescent="0.35">
      <c r="A350" s="1" t="s">
        <v>34</v>
      </c>
      <c r="B350" s="1" t="s">
        <v>12</v>
      </c>
      <c r="C350" s="1" t="s">
        <v>35</v>
      </c>
      <c r="D350" s="2">
        <v>44663</v>
      </c>
      <c r="E350" s="2" t="str">
        <f t="shared" si="5"/>
        <v>Apr</v>
      </c>
      <c r="F350" s="1">
        <v>5032.22</v>
      </c>
      <c r="G350" s="1">
        <v>474</v>
      </c>
    </row>
    <row r="351" spans="1:7" hidden="1" x14ac:dyDescent="0.35">
      <c r="A351" s="1" t="s">
        <v>20</v>
      </c>
      <c r="B351" s="1" t="s">
        <v>10</v>
      </c>
      <c r="C351" s="1" t="s">
        <v>19</v>
      </c>
      <c r="D351" s="2">
        <v>44670</v>
      </c>
      <c r="E351" s="2" t="str">
        <f t="shared" si="5"/>
        <v>Apr</v>
      </c>
      <c r="F351" s="1">
        <v>7678.26</v>
      </c>
      <c r="G351" s="1">
        <v>236</v>
      </c>
    </row>
    <row r="352" spans="1:7" hidden="1" x14ac:dyDescent="0.35">
      <c r="A352" s="1" t="s">
        <v>22</v>
      </c>
      <c r="B352" s="1" t="s">
        <v>10</v>
      </c>
      <c r="C352" s="1" t="s">
        <v>29</v>
      </c>
      <c r="D352" s="2">
        <v>44602</v>
      </c>
      <c r="E352" s="2" t="str">
        <f t="shared" si="5"/>
        <v>Feb</v>
      </c>
      <c r="F352" s="1">
        <v>20181</v>
      </c>
      <c r="G352" s="1">
        <v>409</v>
      </c>
    </row>
    <row r="353" spans="1:7" hidden="1" x14ac:dyDescent="0.35">
      <c r="A353" s="1" t="s">
        <v>22</v>
      </c>
      <c r="B353" s="1" t="s">
        <v>7</v>
      </c>
      <c r="C353" s="1" t="s">
        <v>35</v>
      </c>
      <c r="D353" s="2">
        <v>44565</v>
      </c>
      <c r="E353" s="2" t="str">
        <f t="shared" si="5"/>
        <v>Jan</v>
      </c>
      <c r="F353" s="1">
        <v>8709.2199999999993</v>
      </c>
      <c r="G353" s="1">
        <v>178</v>
      </c>
    </row>
    <row r="354" spans="1:7" hidden="1" x14ac:dyDescent="0.35">
      <c r="A354" s="1" t="s">
        <v>28</v>
      </c>
      <c r="B354" s="1" t="s">
        <v>10</v>
      </c>
      <c r="C354" s="1" t="s">
        <v>25</v>
      </c>
      <c r="D354" s="2">
        <v>44774</v>
      </c>
      <c r="E354" s="2" t="str">
        <f t="shared" si="5"/>
        <v>Aug</v>
      </c>
      <c r="F354" s="1">
        <v>18763.82</v>
      </c>
      <c r="G354" s="1">
        <v>444</v>
      </c>
    </row>
    <row r="355" spans="1:7" hidden="1" x14ac:dyDescent="0.35">
      <c r="A355" s="1" t="s">
        <v>6</v>
      </c>
      <c r="B355" s="1" t="s">
        <v>23</v>
      </c>
      <c r="C355" s="1" t="s">
        <v>27</v>
      </c>
      <c r="D355" s="2">
        <v>44640</v>
      </c>
      <c r="E355" s="2" t="str">
        <f t="shared" si="5"/>
        <v>Mar</v>
      </c>
      <c r="F355" s="1">
        <v>11343.37</v>
      </c>
      <c r="G355" s="1">
        <v>269</v>
      </c>
    </row>
    <row r="356" spans="1:7" hidden="1" x14ac:dyDescent="0.35">
      <c r="A356" s="1" t="s">
        <v>28</v>
      </c>
      <c r="B356" s="1" t="s">
        <v>10</v>
      </c>
      <c r="C356" s="1" t="s">
        <v>29</v>
      </c>
      <c r="D356" s="2">
        <v>44725</v>
      </c>
      <c r="E356" s="2" t="str">
        <f t="shared" si="5"/>
        <v>Jun</v>
      </c>
      <c r="F356" s="1">
        <v>4905.1000000000004</v>
      </c>
      <c r="G356" s="1">
        <v>248</v>
      </c>
    </row>
    <row r="357" spans="1:7" hidden="1" x14ac:dyDescent="0.35">
      <c r="A357" s="1" t="s">
        <v>26</v>
      </c>
      <c r="B357" s="1" t="s">
        <v>24</v>
      </c>
      <c r="C357" s="1" t="s">
        <v>33</v>
      </c>
      <c r="D357" s="2">
        <v>44637</v>
      </c>
      <c r="E357" s="2" t="str">
        <f t="shared" si="5"/>
        <v>Mar</v>
      </c>
      <c r="F357" s="1">
        <v>10071.75</v>
      </c>
      <c r="G357" s="1">
        <v>204</v>
      </c>
    </row>
    <row r="358" spans="1:7" hidden="1" x14ac:dyDescent="0.35">
      <c r="A358" s="1" t="s">
        <v>16</v>
      </c>
      <c r="B358" s="1" t="s">
        <v>7</v>
      </c>
      <c r="C358" s="1" t="s">
        <v>27</v>
      </c>
      <c r="D358" s="2">
        <v>44773</v>
      </c>
      <c r="E358" s="2" t="str">
        <f t="shared" si="5"/>
        <v>Jul</v>
      </c>
      <c r="F358" s="1">
        <v>5025.6899999999996</v>
      </c>
      <c r="G358" s="1">
        <v>133</v>
      </c>
    </row>
    <row r="359" spans="1:7" hidden="1" x14ac:dyDescent="0.35">
      <c r="A359" s="1" t="s">
        <v>22</v>
      </c>
      <c r="B359" s="1" t="s">
        <v>14</v>
      </c>
      <c r="C359" s="1" t="s">
        <v>33</v>
      </c>
      <c r="D359" s="2">
        <v>44803</v>
      </c>
      <c r="E359" s="2" t="str">
        <f t="shared" si="5"/>
        <v>Aug</v>
      </c>
      <c r="F359" s="1">
        <v>1274.8599999999999</v>
      </c>
      <c r="G359" s="1">
        <v>81</v>
      </c>
    </row>
    <row r="360" spans="1:7" hidden="1" x14ac:dyDescent="0.35">
      <c r="A360" s="1" t="s">
        <v>21</v>
      </c>
      <c r="B360" s="1" t="s">
        <v>24</v>
      </c>
      <c r="C360" s="1" t="s">
        <v>25</v>
      </c>
      <c r="D360" s="2">
        <v>44656</v>
      </c>
      <c r="E360" s="2" t="str">
        <f t="shared" si="5"/>
        <v>Apr</v>
      </c>
      <c r="F360" s="1">
        <v>2848.07</v>
      </c>
      <c r="G360" s="1">
        <v>193</v>
      </c>
    </row>
    <row r="361" spans="1:7" hidden="1" x14ac:dyDescent="0.35">
      <c r="A361" s="1" t="s">
        <v>20</v>
      </c>
      <c r="B361" s="1" t="s">
        <v>23</v>
      </c>
      <c r="C361" s="1" t="s">
        <v>18</v>
      </c>
      <c r="D361" s="2">
        <v>44731</v>
      </c>
      <c r="E361" s="2" t="str">
        <f t="shared" si="5"/>
        <v>Jun</v>
      </c>
      <c r="F361" s="1">
        <v>5431.35</v>
      </c>
      <c r="G361" s="1">
        <v>152</v>
      </c>
    </row>
    <row r="362" spans="1:7" hidden="1" x14ac:dyDescent="0.35">
      <c r="A362" s="1" t="s">
        <v>22</v>
      </c>
      <c r="B362" s="1" t="s">
        <v>10</v>
      </c>
      <c r="C362" s="1" t="s">
        <v>18</v>
      </c>
      <c r="D362" s="2">
        <v>44733</v>
      </c>
      <c r="E362" s="2" t="str">
        <f t="shared" si="5"/>
        <v>Jun</v>
      </c>
      <c r="F362" s="1">
        <v>23090.87</v>
      </c>
      <c r="G362" s="1">
        <v>482</v>
      </c>
    </row>
    <row r="363" spans="1:7" hidden="1" x14ac:dyDescent="0.35">
      <c r="A363" s="1" t="s">
        <v>11</v>
      </c>
      <c r="B363" s="1" t="s">
        <v>23</v>
      </c>
      <c r="C363" s="1" t="s">
        <v>35</v>
      </c>
      <c r="D363" s="2">
        <v>44723</v>
      </c>
      <c r="E363" s="2" t="str">
        <f t="shared" si="5"/>
        <v>Jun</v>
      </c>
      <c r="F363" s="1">
        <v>13289.99</v>
      </c>
      <c r="G363" s="1">
        <v>273</v>
      </c>
    </row>
    <row r="364" spans="1:7" hidden="1" x14ac:dyDescent="0.35">
      <c r="A364" s="1" t="s">
        <v>20</v>
      </c>
      <c r="B364" s="1" t="s">
        <v>7</v>
      </c>
      <c r="C364" s="1" t="s">
        <v>36</v>
      </c>
      <c r="D364" s="2">
        <v>44653</v>
      </c>
      <c r="E364" s="2" t="str">
        <f t="shared" si="5"/>
        <v>Apr</v>
      </c>
      <c r="F364" s="1">
        <v>14114.16</v>
      </c>
      <c r="G364" s="1">
        <v>422</v>
      </c>
    </row>
    <row r="365" spans="1:7" hidden="1" x14ac:dyDescent="0.35">
      <c r="A365" s="1" t="s">
        <v>28</v>
      </c>
      <c r="B365" s="1" t="s">
        <v>23</v>
      </c>
      <c r="C365" s="1" t="s">
        <v>33</v>
      </c>
      <c r="D365" s="2">
        <v>44634</v>
      </c>
      <c r="E365" s="2" t="str">
        <f t="shared" si="5"/>
        <v>Mar</v>
      </c>
      <c r="F365" s="1">
        <v>3064.72</v>
      </c>
      <c r="G365" s="1">
        <v>251</v>
      </c>
    </row>
    <row r="366" spans="1:7" hidden="1" x14ac:dyDescent="0.35">
      <c r="A366" s="1" t="s">
        <v>21</v>
      </c>
      <c r="B366" s="1" t="s">
        <v>10</v>
      </c>
      <c r="C366" s="1" t="s">
        <v>17</v>
      </c>
      <c r="D366" s="2">
        <v>44745</v>
      </c>
      <c r="E366" s="2" t="str">
        <f t="shared" si="5"/>
        <v>Jul</v>
      </c>
      <c r="F366" s="1">
        <v>13987.08</v>
      </c>
      <c r="G366" s="1">
        <v>372</v>
      </c>
    </row>
    <row r="367" spans="1:7" hidden="1" x14ac:dyDescent="0.35">
      <c r="A367" s="1" t="s">
        <v>22</v>
      </c>
      <c r="B367" s="1" t="s">
        <v>10</v>
      </c>
      <c r="C367" s="1" t="s">
        <v>30</v>
      </c>
      <c r="D367" s="2">
        <v>44760</v>
      </c>
      <c r="E367" s="2" t="str">
        <f t="shared" si="5"/>
        <v>Jul</v>
      </c>
      <c r="F367" s="1">
        <v>17890.38</v>
      </c>
      <c r="G367" s="1">
        <v>457</v>
      </c>
    </row>
    <row r="368" spans="1:7" hidden="1" x14ac:dyDescent="0.35">
      <c r="A368" s="1" t="s">
        <v>11</v>
      </c>
      <c r="B368" s="1" t="s">
        <v>10</v>
      </c>
      <c r="C368" s="1" t="s">
        <v>19</v>
      </c>
      <c r="D368" s="2">
        <v>44774</v>
      </c>
      <c r="E368" s="2" t="str">
        <f t="shared" si="5"/>
        <v>Aug</v>
      </c>
      <c r="F368" s="1">
        <v>11345.7</v>
      </c>
      <c r="G368" s="1">
        <v>487</v>
      </c>
    </row>
    <row r="369" spans="1:7" hidden="1" x14ac:dyDescent="0.35">
      <c r="A369" s="1" t="s">
        <v>28</v>
      </c>
      <c r="B369" s="1" t="s">
        <v>24</v>
      </c>
      <c r="C369" s="1" t="s">
        <v>31</v>
      </c>
      <c r="D369" s="2">
        <v>44686</v>
      </c>
      <c r="E369" s="2" t="str">
        <f t="shared" si="5"/>
        <v>May</v>
      </c>
      <c r="F369" s="1">
        <v>3795.64</v>
      </c>
      <c r="G369" s="1">
        <v>206</v>
      </c>
    </row>
    <row r="370" spans="1:7" hidden="1" x14ac:dyDescent="0.35">
      <c r="A370" s="1" t="s">
        <v>6</v>
      </c>
      <c r="B370" s="1" t="s">
        <v>24</v>
      </c>
      <c r="C370" s="1" t="s">
        <v>36</v>
      </c>
      <c r="D370" s="2">
        <v>44768</v>
      </c>
      <c r="E370" s="2" t="str">
        <f t="shared" si="5"/>
        <v>Jul</v>
      </c>
      <c r="F370" s="1">
        <v>1004.71</v>
      </c>
      <c r="G370" s="1">
        <v>21</v>
      </c>
    </row>
    <row r="371" spans="1:7" hidden="1" x14ac:dyDescent="0.35">
      <c r="A371" s="1" t="s">
        <v>28</v>
      </c>
      <c r="B371" s="1" t="s">
        <v>23</v>
      </c>
      <c r="C371" s="1" t="s">
        <v>29</v>
      </c>
      <c r="D371" s="2">
        <v>44711</v>
      </c>
      <c r="E371" s="2" t="str">
        <f t="shared" si="5"/>
        <v>May</v>
      </c>
      <c r="F371" s="1">
        <v>5575.62</v>
      </c>
      <c r="G371" s="1">
        <v>371</v>
      </c>
    </row>
    <row r="372" spans="1:7" hidden="1" x14ac:dyDescent="0.35">
      <c r="A372" s="1" t="s">
        <v>11</v>
      </c>
      <c r="B372" s="1" t="s">
        <v>14</v>
      </c>
      <c r="C372" s="1" t="s">
        <v>32</v>
      </c>
      <c r="D372" s="2">
        <v>44688</v>
      </c>
      <c r="E372" s="2" t="str">
        <f t="shared" si="5"/>
        <v>May</v>
      </c>
      <c r="F372" s="1">
        <v>12563.44</v>
      </c>
      <c r="G372" s="1">
        <v>420</v>
      </c>
    </row>
    <row r="373" spans="1:7" hidden="1" x14ac:dyDescent="0.35">
      <c r="A373" s="1" t="s">
        <v>11</v>
      </c>
      <c r="B373" s="1" t="s">
        <v>24</v>
      </c>
      <c r="C373" s="1" t="s">
        <v>17</v>
      </c>
      <c r="D373" s="2">
        <v>44733</v>
      </c>
      <c r="E373" s="2" t="str">
        <f t="shared" si="5"/>
        <v>Jun</v>
      </c>
      <c r="F373" s="1">
        <v>4983.24</v>
      </c>
      <c r="G373" s="1">
        <v>143</v>
      </c>
    </row>
    <row r="374" spans="1:7" hidden="1" x14ac:dyDescent="0.35">
      <c r="A374" s="1" t="s">
        <v>16</v>
      </c>
      <c r="B374" s="1" t="s">
        <v>14</v>
      </c>
      <c r="C374" s="1" t="s">
        <v>15</v>
      </c>
      <c r="D374" s="2">
        <v>44789</v>
      </c>
      <c r="E374" s="2" t="str">
        <f t="shared" si="5"/>
        <v>Aug</v>
      </c>
      <c r="F374" s="1">
        <v>782.09</v>
      </c>
      <c r="G374" s="1">
        <v>19</v>
      </c>
    </row>
    <row r="375" spans="1:7" hidden="1" x14ac:dyDescent="0.35">
      <c r="A375" s="1" t="s">
        <v>28</v>
      </c>
      <c r="B375" s="1" t="s">
        <v>10</v>
      </c>
      <c r="C375" s="1" t="s">
        <v>29</v>
      </c>
      <c r="D375" s="2">
        <v>44790</v>
      </c>
      <c r="E375" s="2" t="str">
        <f t="shared" si="5"/>
        <v>Aug</v>
      </c>
      <c r="F375" s="1">
        <v>17614.900000000001</v>
      </c>
      <c r="G375" s="1">
        <v>386</v>
      </c>
    </row>
  </sheetData>
  <autoFilter ref="A1:G375" xr:uid="{00000000-0009-0000-0000-000005000000}">
    <filterColumn colId="0">
      <filters>
        <filter val="Ethan Reddy"/>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by Months</vt:lpstr>
      <vt:lpstr>Sales by Country</vt:lpstr>
      <vt:lpstr>Boxes Shipped by Month</vt:lpstr>
      <vt:lpstr>Total Sales by Sales Person</vt:lpstr>
      <vt:lpstr>cosmetics_sales_data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2026-05-18T04:23:58Z</dcterms:created>
  <dcterms:modified xsi:type="dcterms:W3CDTF">2026-05-18T09:09:27Z</dcterms:modified>
</cp:coreProperties>
</file>